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AGS-GPT-DemoMot\"/>
    </mc:Choice>
  </mc:AlternateContent>
  <bookViews>
    <workbookView xWindow="0" yWindow="0" windowWidth="25200" windowHeight="11850" activeTab="1"/>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JNLTRAV!$A$1:$D$50</definedName>
    <definedName name="_xlnm.Print_Area" localSheetId="1">Diagramme!$A$1:$MZ$37</definedName>
    <definedName name="_xlnm.Print_Area" localSheetId="0">Donnees!$A$1:$G$54</definedName>
    <definedName name="_xlnm.Print_Area" localSheetId="6">JNLTRAV!$A$1:$D$125</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124" i="159"/>
  <c r="B105" i="159"/>
  <c r="B86" i="159"/>
  <c r="B49" i="159"/>
  <c r="B18" i="154" l="1"/>
  <c r="B13" i="11"/>
</calcChain>
</file>

<file path=xl/sharedStrings.xml><?xml version="1.0" encoding="utf-8"?>
<sst xmlns="http://schemas.openxmlformats.org/spreadsheetml/2006/main" count="387" uniqueCount="145">
  <si>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</si>
  <si>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</si>
  <si>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</si>
  <si>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</si>
  <si>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</si>
  <si>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</si>
  <si>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</si>
  <si>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</si>
  <si>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</si>
  <si>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</si>
  <si>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</si>
  <si>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</si>
  <si>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</si>
  <si>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</si>
  <si>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</si>
  <si>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</si>
  <si>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</si>
  <si>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</si>
  <si>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</si>
  <si>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</si>
  <si>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</si>
  <si>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</si>
  <si>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</si>
  <si>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</si>
  <si>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</si>
  <si>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</si>
  <si>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</si>
  <si>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</si>
  <si>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</si>
  <si>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</si>
  <si>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</si>
  <si>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</si>
  <si>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</si>
  <si>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</si>
  <si>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</si>
  <si>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</si>
  <si>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</si>
  <si>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</si>
  <si>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</si>
  <si>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</si>
  <si>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</si>
  <si>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</si>
  <si>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</si>
  <si>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</si>
  <si>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</si>
  <si>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</si>
  <si>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</si>
  <si>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</si>
  <si>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</si>
  <si>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</si>
  <si>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</si>
  <si>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</si>
  <si>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</si>
  <si>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</si>
  <si>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</si>
  <si>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</si>
  <si>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</si>
  <si>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</si>
  <si>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</si>
  <si>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</si>
  <si>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</si>
  <si>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</si>
  <si>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André Gomes</t>
  </si>
  <si>
    <t>Création du cahier des charges pour le projet avec mon collègue Grégory</t>
  </si>
  <si>
    <t>Nous sommes aller voir KBA pour des informations sur notre cachiers des charges. Nous avons du changer quelque détails et ils nous a donné plusieurs informations utile pour la conception du projet</t>
  </si>
  <si>
    <t>Création du modèle du journal de travail</t>
  </si>
  <si>
    <t>Mise en place de la plannification pour la durée du projet</t>
  </si>
  <si>
    <t>Installation du programme Android Studio</t>
  </si>
  <si>
    <t>Visionnage d'une vidéo Youtube sur l'utilisation du programme Android Studio. Explication de la mise en place d'interface graphique, petite information sur l'internationalisation, comment instancier les variables, comment faire communiquer les variables, explication de quelque classe importante pour la communication entre l'utilisateur et du programme.</t>
  </si>
  <si>
    <t>https://www.youtube.com/watch?v=TCJFoExOBUE</t>
  </si>
  <si>
    <t>Mise à jour du journal de travail</t>
  </si>
  <si>
    <t>H:\DemoMot\AGS-GPT-DemoMot</t>
  </si>
  <si>
    <t>Visionnage d'une vidéo Youtube sur comment implémenter l'internationalisation complétement sur un programme.</t>
  </si>
  <si>
    <t>https://www.youtube.com/watch?v=6nmnWi_hfC0</t>
  </si>
  <si>
    <t>J'ai regardé un lien trouver en commentaire sur une des vidéos qui contient toute une documentation sur Java</t>
  </si>
  <si>
    <t>http://jmdoudoux.developpez.com/cours/developpons/java/</t>
  </si>
  <si>
    <t>https://www.youtube.com/watch?v=z53Ed0ddxgM</t>
  </si>
  <si>
    <t>Visionnage d'une vidéo pour mieux comprendre l'utilisation de la gestion de l'affichage graphique des application avec des explications sur l'utilisation du responsive</t>
  </si>
  <si>
    <t>Création d'un programme pour tester les connaissances sur le responsive et la gestion de l'interface vu dans la vidéo juste avant</t>
  </si>
  <si>
    <t>C:\Users\gomesan\AndroidStudioProjects\FirstTrySupport</t>
  </si>
  <si>
    <t>Visionnage d'une vidéo pour apprendre à créer un affichage différent du mode "Portrait" pour le mode "Paysage" du téléphone (c'est pour améliorer le responsive sur le type de rotation que le téléphone est actuellement)</t>
  </si>
  <si>
    <t>https://www.youtube.com/watch?v=CTYf1qwrXuw</t>
  </si>
  <si>
    <t>Mise en pratique sur le programme créer tout à l'heure sur la méthode de responsive exprès pour le type de rotation "Paysage" des téléphone</t>
  </si>
  <si>
    <t>Visionnage d'une vidéo pour créer des thème graphique pour les bouttons, couleur de texte etc…</t>
  </si>
  <si>
    <t>https://www.youtube.com/watch?v=jhVBV8bGKLU&amp;index=3&amp;list=PLBNheBxhHLQxmCCiHGkXBAIsC1VKpZkSe</t>
  </si>
  <si>
    <t>Après-midi</t>
  </si>
  <si>
    <t>https://www.youtube.com/watch?v=7dneldqxDKk</t>
  </si>
  <si>
    <t>Continuation du programme en ajoutant une activitées en plus "StoppActivity" et en la faisant communiquer avec l'activitée principal "main_activity"</t>
  </si>
  <si>
    <t>Visionnage de deux Youtube qui montre comment créer une base de donnée sur le modèle "SQLite". La première vidéos fut mauvaise je l'ai donc arreêter en cours de visionnage mais la seconde explique beaucoup mieux pour un débutant comment Ajouter et Afficher des données.</t>
  </si>
  <si>
    <t>https://www.youtube.com/watch?v=sreuidkR4yc</t>
  </si>
  <si>
    <t>Visionnage d'une vidéo qui explique comment faire pour créer des activitées et les faires communiquer entre elles et montre aussi comment faire fonctionner les "Dialogues"</t>
  </si>
  <si>
    <t>Recherche "Comment faire des activitées dynamique" résultat pas fructueux. Je suis tombé que sur des pages qui montre comment optimiser l'affichage de l'interface</t>
  </si>
  <si>
    <t>Discution avec mr KBA pour savoir si l'idée de faire des activitées dynamique soit faisable avec des interfaces qui change.</t>
  </si>
  <si>
    <t>Application sur mon programme les méthodes montrer dans la vidéo pour ajouter des données. Petit problème rencontré l'application crash au démarrage  -&gt; Pour le résoudre il faut pas déclarer la varibles qui permet d'ecrire dans la base au début du programme avec les autres varibles il faut absolument la déclarer dans une méthode. Second problème toujours pas résolu l'application crash quand je rentre les données que se soit par le bouton ou automatiquement au lancement.</t>
  </si>
  <si>
    <t>Resolution du problème du crash de l'application --&gt; Il fallait juste bien declarer la variable, je la declarai dans la méthode d'initialisation mais il manquait une declaration de la variable avant la méthode pour pouvoir la réutiliser comme il le faut dans l'evenemnt du clic du boutton</t>
  </si>
  <si>
    <t>Tentative d'affichage des informations mais n'affichait pas comme je le voulais les informations était erroner</t>
  </si>
  <si>
    <t>Création d'un nouveau projet à partir de la vidéo regarder juste avant</t>
  </si>
  <si>
    <t>Visionnage d'une nouvelle vidéo sur la création d'une base de donnée en SQLite dans Android Studio.</t>
  </si>
  <si>
    <t>https://www.youtube.com/watch?v=K6cYSNXb9ew</t>
  </si>
  <si>
    <t>C:\Users\gomesan\AndroidStudioProjects\dbContact</t>
  </si>
  <si>
    <t>Recherche "android studio voir entièrement une base de donnée" j'ai regarder plusieurs site mais le seul interessant je n'ai pas vraiment compris ce que le code disait je suis donc partis rechercher une vidéo interessante</t>
  </si>
  <si>
    <t>http://a-renouard.developpez.com/tutoriels/android/sqlite/</t>
  </si>
  <si>
    <t>Arrivée en retard bus manqué à cause de mon entorse à la cheville</t>
  </si>
  <si>
    <t>Visionnage d'une vidéo pour savoir comment créer des menus pour acceder à des options par exemple</t>
  </si>
  <si>
    <t>https://youtu.be/NUvSEPEm8DA</t>
  </si>
  <si>
    <t>Application sur un programme test en essayant d'ajouter le changement d'activité dans les options pour acceder à l'activité voulu</t>
  </si>
  <si>
    <t>Création du programme du projet commencement de l'interface graphique</t>
  </si>
  <si>
    <t>H:\DemoMot\AGS-GPT-DemoMot\P_GestionNote-AGS-GPT</t>
  </si>
  <si>
    <t>Multiple recherche pour pouvoir créer des boutons dynamqiue sans succés, je continuerai de chercher dans la journée.</t>
  </si>
  <si>
    <t>Continuation de la création de l'interface graphique de l'application.</t>
  </si>
  <si>
    <t>Recherche de comment faire pour pouvoir modifier l'interface graphique des activitées en cliquant sur des boutons différents. Ex: On clique sur le bouton première année il va afficher les modules de la premiere année puis on clique sur le bouton de la seconde année il va afficher les modules de la seconde année mais tous ça reste dans la même activitées. Trouvaille d'une page interessante à tester</t>
  </si>
  <si>
    <t>https://stackoverflow.com/questions/24946098/how-to-change-the-content-view-with-a-button-using-setcontent</t>
  </si>
  <si>
    <t>Recherche de comment faire pour avoir une interface qui change en appuyant sur des boutons différents: 4 méthodes trouvé interessante. J'ai voulu aller voir Mr.KBA pour voir qu'elle serait la meilleur solution mais je ne l'ai pas trouvé donc j'ai décider  de laisser ça de côté pour demain si je le croise pour décider qu'elle est la meilleur méthode à notre façon de faire</t>
  </si>
  <si>
    <t>http://www.survivingwithandroid.com/2013/04/android-fragment-transaction.html</t>
  </si>
  <si>
    <t>1) FragmentTransaction</t>
  </si>
  <si>
    <t>2) ViewFlipper</t>
  </si>
  <si>
    <t>http://abhiandroid.com/ui/viewflipper</t>
  </si>
  <si>
    <t>3) Boutton display on/off</t>
  </si>
  <si>
    <t>https://stackoverflow.com/questions/29846684/setting-contentview-after-button-click</t>
  </si>
  <si>
    <t>https://stackoverflow.com/questions/28191948/replace-the-content-of-linear-layout-at-onclick-button-android</t>
  </si>
  <si>
    <t>4) SetContentView</t>
  </si>
  <si>
    <t>https://stackoverflow.com/questions/6121797/android-how-to-change-layout-on-button-click</t>
  </si>
  <si>
    <t>Création du rapport de projet</t>
  </si>
  <si>
    <t>https://danielme.com/tip-android-29-layouts-dinamicos-anadir-vistas-programaticamente/</t>
  </si>
  <si>
    <t>Aide de mon collègue pour la création de bouton dynamique, propostion d'une solution basé sur une base de donnée</t>
  </si>
  <si>
    <t>Visionage d'un site pour l'afficahge dynamique</t>
  </si>
  <si>
    <t>Test sur un autre programme avec une base de donnée incluse pour pouvoir afficher les choses avec une base de donnée</t>
  </si>
  <si>
    <t>Recherceh de comment faire pour modiffier le text dans un autre layout</t>
  </si>
  <si>
    <t>https://stackoverflow.com/questions/8226390/settext-not-working-on-inflated-layout</t>
  </si>
  <si>
    <t>Création de la base de donnée avec les deux tables et des méthode nécessaire</t>
  </si>
  <si>
    <t>Insertion de l'affiocahge dynamique avec la nouvelle base de donnée problèeme au niveau de la méthode qui créer la liste entière des notes qui fonctionne pas et qui fait planter l'applications</t>
  </si>
  <si>
    <t>Recherche de comment faire pour créer des dialogs pour pouvoir récuperer des informations que l'utilisateur entre</t>
  </si>
  <si>
    <t>https://developer.android.com/guide/topics/ui/dialogs.html</t>
  </si>
  <si>
    <t>Visionange d'une vidéo sur comment créer un dialogs en mode formulaire pour avoir des informatiosn de l'utilisateur</t>
  </si>
  <si>
    <t>https://www.youtube.com/watch?v=plnLs6aST1M</t>
  </si>
  <si>
    <t>Création d'un code adapter à notre programme depuis la vidéo sur les dialogs</t>
  </si>
  <si>
    <t>Réparation d'un bug provenant de la base de donnée qui faisait crash: J'ai essayé de modiffier les types de paramètre sans succès et j'ai fais quelque modiffication jusqu'à m'apercevoir une erreur dans la création de la table il manquait une colonne</t>
  </si>
  <si>
    <t>Continuation du code adapter en modiffiant la requête pour juste selectionner les notes par branche et par année, affichage aussi des notes depuis le dialogs(tentative de faire avec un rafraichissement mais cela faisaiit crash l'application donc on a juste utiliser la méthode qu'on avait pour afficher les notes)</t>
  </si>
  <si>
    <t>Implementation des méthodes pour afficher les bouttons, créer un dilaogs pour pouvoir communiquer avec l'utilisateur et afficher une nouvelle branches dynamiquement</t>
  </si>
  <si>
    <t>Recherche du probleme dans la base de donnée après plusieurs test j'ai remarquer dans les logs que la table se créer pas</t>
  </si>
  <si>
    <t>Recherche de comment faire pour pouvoir créer plusieur table</t>
  </si>
  <si>
    <t>http://instinctcoder.com/android-studio-sqlite-database-multiple-tables-example/</t>
  </si>
  <si>
    <t>Réparation des bugs dans le code qui faisait crasher l'application: 1. Bouton qui ne s'affichait pas lors de l'insértion -&gt; Il fallait rajouter une GridLayout pour stocker les boutons, l'afficahge se mettait au mauvais endroit aussi et le nombre de bouton n'est pas limité et y avait aussi un probleme de nom de fichier dans le bout de code 2. Insértion qui ne se faisait pas -&gt; Au début la base de donnée crasher directement à cause du cache de donnée donc la seconde table n'était donc pas créer il fallait donc supprimer completement l'application et la reinstaller, le second gros soucis qui y a eu c'est que la table avait une mauvaise information qui faisait en sorte que le code pour l'insertion de donnée ne jouait pas avec les noms des colonnes de la table</t>
  </si>
  <si>
    <t>Recherche dans le code pourquoi les données des boutons ne s'enregistre pas</t>
  </si>
  <si>
    <t>Ajout de la fonctionnalité pour accéder au autres activité avec l'affichage des notes correctement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</si>
</sst>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7" borderId="41" xfId="0" applyFill="1" applyBorder="1" applyProtection="1"/>
    <xf numFmtId="0" fontId="0" fillId="17" borderId="42" xfId="0" applyFill="1" applyBorder="1" applyProtection="1"/>
    <xf numFmtId="0" fontId="0" fillId="17" borderId="43" xfId="0" applyFill="1" applyBorder="1" applyProtection="1"/>
    <xf numFmtId="0" fontId="0" fillId="17" borderId="44" xfId="0" applyFill="1" applyBorder="1" applyProtection="1"/>
    <xf numFmtId="0" fontId="10" fillId="0" borderId="33" xfId="1"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0" fillId="17"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youtube.com/watch?v=CTYf1qwrXuw" TargetMode="External"/><Relationship Id="rId13" Type="http://schemas.openxmlformats.org/officeDocument/2006/relationships/hyperlink" Target="file:///C:\Users\gomesan\AndroidStudioProjects\dbContact" TargetMode="External"/><Relationship Id="rId18" Type="http://schemas.openxmlformats.org/officeDocument/2006/relationships/hyperlink" Target="http://www.survivingwithandroid.com/2013/04/android-fragment-transaction.html" TargetMode="External"/><Relationship Id="rId26" Type="http://schemas.openxmlformats.org/officeDocument/2006/relationships/hyperlink" Target="https://stackoverflow.com/questions/8226390/settext-not-working-on-inflated-layout" TargetMode="External"/><Relationship Id="rId3" Type="http://schemas.openxmlformats.org/officeDocument/2006/relationships/hyperlink" Target="../AGS-GPT-DemoMot" TargetMode="External"/><Relationship Id="rId21" Type="http://schemas.openxmlformats.org/officeDocument/2006/relationships/hyperlink" Target="https://stackoverflow.com/questions/28191948/replace-the-content-of-linear-layout-at-onclick-button-android" TargetMode="External"/><Relationship Id="rId34" Type="http://schemas.openxmlformats.org/officeDocument/2006/relationships/image" Target="../media/image6.emf"/><Relationship Id="rId7" Type="http://schemas.openxmlformats.org/officeDocument/2006/relationships/hyperlink" Target="file:///C:\Users\gomesan\AndroidStudioProjects\FirstTrySupport" TargetMode="External"/><Relationship Id="rId12" Type="http://schemas.openxmlformats.org/officeDocument/2006/relationships/hyperlink" Target="https://www.youtube.com/watch?v=K6cYSNXb9ew" TargetMode="External"/><Relationship Id="rId17" Type="http://schemas.openxmlformats.org/officeDocument/2006/relationships/hyperlink" Target="https://stackoverflow.com/questions/24946098/how-to-change-the-content-view-with-a-button-using-setcontent" TargetMode="External"/><Relationship Id="rId25" Type="http://schemas.openxmlformats.org/officeDocument/2006/relationships/hyperlink" Target="https://danielme.com/tip-android-29-layouts-dinamicos-anadir-vistas-programaticamente/" TargetMode="External"/><Relationship Id="rId33" Type="http://schemas.openxmlformats.org/officeDocument/2006/relationships/control" Target="../activeX/activeX6.xml"/><Relationship Id="rId2" Type="http://schemas.openxmlformats.org/officeDocument/2006/relationships/hyperlink" Target="../AGS-GPT-DemoMot" TargetMode="External"/><Relationship Id="rId16" Type="http://schemas.openxmlformats.org/officeDocument/2006/relationships/hyperlink" Target="P_GestionNote-AGS-GPT" TargetMode="External"/><Relationship Id="rId20" Type="http://schemas.openxmlformats.org/officeDocument/2006/relationships/hyperlink" Target="https://stackoverflow.com/questions/29846684/setting-contentview-after-button-click" TargetMode="External"/><Relationship Id="rId29" Type="http://schemas.openxmlformats.org/officeDocument/2006/relationships/hyperlink" Target="http://instinctcoder.com/android-studio-sqlite-database-multiple-tables-example/" TargetMode="External"/><Relationship Id="rId1" Type="http://schemas.openxmlformats.org/officeDocument/2006/relationships/hyperlink" Target="https://www.youtube.com/watch?v=TCJFoExOBUE" TargetMode="External"/><Relationship Id="rId6" Type="http://schemas.openxmlformats.org/officeDocument/2006/relationships/hyperlink" Target="https://www.youtube.com/watch?v=z53Ed0ddxgM" TargetMode="External"/><Relationship Id="rId11" Type="http://schemas.openxmlformats.org/officeDocument/2006/relationships/hyperlink" Target="https://www.youtube.com/watch?v=sreuidkR4yc" TargetMode="External"/><Relationship Id="rId24" Type="http://schemas.openxmlformats.org/officeDocument/2006/relationships/hyperlink" Target="https://danielme.com/tip-android-29-layouts-dinamicos-anadir-vistas-programaticamente/" TargetMode="External"/><Relationship Id="rId32" Type="http://schemas.openxmlformats.org/officeDocument/2006/relationships/vmlDrawing" Target="../drawings/vmlDrawing4.vml"/><Relationship Id="rId5" Type="http://schemas.openxmlformats.org/officeDocument/2006/relationships/hyperlink" Target="http://jmdoudoux.developpez.com/cours/developpons/java/" TargetMode="External"/><Relationship Id="rId15" Type="http://schemas.openxmlformats.org/officeDocument/2006/relationships/hyperlink" Target="https://youtu.be/NUvSEPEm8DA" TargetMode="External"/><Relationship Id="rId23" Type="http://schemas.openxmlformats.org/officeDocument/2006/relationships/hyperlink" Target="P_GestionNote-AGS-GPT" TargetMode="External"/><Relationship Id="rId28" Type="http://schemas.openxmlformats.org/officeDocument/2006/relationships/hyperlink" Target="https://www.youtube.com/watch?v=plnLs6aST1M" TargetMode="External"/><Relationship Id="rId10" Type="http://schemas.openxmlformats.org/officeDocument/2006/relationships/hyperlink" Target="https://www.youtube.com/watch?v=7dneldqxDKk" TargetMode="External"/><Relationship Id="rId19" Type="http://schemas.openxmlformats.org/officeDocument/2006/relationships/hyperlink" Target="http://abhiandroid.com/ui/viewflipper" TargetMode="External"/><Relationship Id="rId31" Type="http://schemas.openxmlformats.org/officeDocument/2006/relationships/drawing" Target="../drawings/drawing4.xml"/><Relationship Id="rId4" Type="http://schemas.openxmlformats.org/officeDocument/2006/relationships/hyperlink" Target="https://www.youtube.com/watch?v=6nmnWi_hfC0" TargetMode="External"/><Relationship Id="rId9" Type="http://schemas.openxmlformats.org/officeDocument/2006/relationships/hyperlink" Target="https://www.youtube.com/watch?v=jhVBV8bGKLU&amp;index=3&amp;list=PLBNheBxhHLQxmCCiHGkXBAIsC1VKpZkSe" TargetMode="External"/><Relationship Id="rId14" Type="http://schemas.openxmlformats.org/officeDocument/2006/relationships/hyperlink" Target="http://a-renouard.developpez.com/tutoriels/android/sqlite/" TargetMode="External"/><Relationship Id="rId22" Type="http://schemas.openxmlformats.org/officeDocument/2006/relationships/hyperlink" Target="https://stackoverflow.com/questions/6121797/android-how-to-change-layout-on-button-click" TargetMode="External"/><Relationship Id="rId27" Type="http://schemas.openxmlformats.org/officeDocument/2006/relationships/hyperlink" Target="https://developer.android.com/guide/topics/ui/dialogs.html" TargetMode="External"/><Relationship Id="rId30"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62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34" t="s">
        <v>19</v>
      </c>
      <c r="C19" s="13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tabSelected="1"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38" t="s">
        <v>41</v>
      </c>
      <c r="E2" s="139"/>
      <c r="F2" s="139"/>
      <c r="G2" s="139"/>
      <c r="H2" s="139"/>
      <c r="I2" s="139"/>
      <c r="J2" s="139"/>
      <c r="K2" s="139"/>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T2" s="139"/>
      <c r="AU2" s="139"/>
      <c r="AV2" s="139"/>
      <c r="AW2" s="139"/>
      <c r="AX2" s="139"/>
      <c r="AY2" s="139"/>
      <c r="AZ2" s="139"/>
      <c r="BA2" s="139"/>
      <c r="BB2" s="139"/>
      <c r="BC2" s="139"/>
      <c r="BD2" s="139"/>
      <c r="BE2" s="139"/>
      <c r="BF2" s="139"/>
      <c r="BG2" s="139"/>
      <c r="BH2" s="139"/>
      <c r="BI2" s="139"/>
      <c r="BJ2" s="139"/>
      <c r="BK2" s="139"/>
      <c r="BL2" s="139"/>
      <c r="BM2" s="139"/>
      <c r="BN2" s="139"/>
      <c r="BO2" s="139"/>
      <c r="BP2" s="139"/>
      <c r="BQ2" s="139"/>
      <c r="BR2" s="139"/>
      <c r="BS2" s="139"/>
      <c r="BT2" s="139"/>
      <c r="BU2" s="139"/>
      <c r="BV2" s="139"/>
      <c r="BW2" s="139"/>
      <c r="BX2" s="139"/>
      <c r="BY2" s="139"/>
      <c r="BZ2" s="139"/>
      <c r="CA2" s="139"/>
      <c r="CB2" s="139"/>
      <c r="CC2" s="139"/>
      <c r="CD2" s="139"/>
      <c r="CE2" s="139"/>
      <c r="CF2" s="139"/>
      <c r="CG2" s="139"/>
      <c r="CH2" s="139"/>
      <c r="CI2" s="139"/>
      <c r="CJ2" s="139"/>
      <c r="CK2" s="139"/>
      <c r="CL2" s="139"/>
      <c r="CM2" s="139"/>
      <c r="CN2" s="139"/>
      <c r="CO2" s="140"/>
      <c r="CP2" s="138" t="s">
        <v>42</v>
      </c>
      <c r="CQ2" s="139"/>
      <c r="CR2" s="139"/>
      <c r="CS2" s="139"/>
      <c r="CT2" s="139"/>
      <c r="CU2" s="139"/>
      <c r="CV2" s="139"/>
      <c r="CW2" s="139"/>
      <c r="CX2" s="139"/>
      <c r="CY2" s="139"/>
      <c r="CZ2" s="139"/>
      <c r="DA2" s="139"/>
      <c r="DB2" s="139"/>
      <c r="DC2" s="139"/>
      <c r="DD2" s="139"/>
      <c r="DE2" s="139"/>
      <c r="DF2" s="139"/>
      <c r="DG2" s="139"/>
      <c r="DH2" s="139"/>
      <c r="DI2" s="139"/>
      <c r="DJ2" s="139"/>
      <c r="DK2" s="139"/>
      <c r="DL2" s="139"/>
      <c r="DM2" s="139"/>
      <c r="DN2" s="139"/>
      <c r="DO2" s="139"/>
      <c r="DP2" s="139"/>
      <c r="DQ2" s="139"/>
      <c r="DR2" s="139"/>
      <c r="DS2" s="139"/>
      <c r="DT2" s="139"/>
      <c r="DU2" s="139"/>
      <c r="DV2" s="139"/>
      <c r="DW2" s="139"/>
      <c r="DX2" s="139"/>
      <c r="DY2" s="139"/>
      <c r="DZ2" s="139"/>
      <c r="EA2" s="139"/>
      <c r="EB2" s="139"/>
      <c r="EC2" s="139"/>
      <c r="ED2" s="139"/>
      <c r="EE2" s="139"/>
      <c r="EF2" s="139"/>
      <c r="EG2" s="139"/>
      <c r="EH2" s="139"/>
      <c r="EI2" s="139"/>
      <c r="EJ2" s="139"/>
      <c r="EK2" s="139"/>
      <c r="EL2" s="139"/>
      <c r="EM2" s="139"/>
      <c r="EN2" s="139"/>
      <c r="EO2" s="139"/>
      <c r="EP2" s="139"/>
      <c r="EQ2" s="139"/>
      <c r="ER2" s="139"/>
      <c r="ES2" s="139"/>
      <c r="ET2" s="139"/>
      <c r="EU2" s="139"/>
      <c r="EV2" s="139"/>
      <c r="EW2" s="139"/>
      <c r="EX2" s="139"/>
      <c r="EY2" s="139"/>
      <c r="EZ2" s="139"/>
      <c r="FA2" s="139"/>
      <c r="FB2" s="139"/>
      <c r="FC2" s="139"/>
      <c r="FD2" s="139"/>
      <c r="FE2" s="139"/>
      <c r="FF2" s="139"/>
      <c r="FG2" s="139"/>
      <c r="FH2" s="139"/>
      <c r="FI2" s="139"/>
      <c r="FJ2" s="139"/>
      <c r="FK2" s="139"/>
      <c r="FL2" s="139"/>
      <c r="FM2" s="139"/>
      <c r="FN2" s="139"/>
      <c r="FO2" s="139"/>
      <c r="FP2" s="139"/>
      <c r="FQ2" s="139"/>
      <c r="FR2" s="139"/>
      <c r="FS2" s="139"/>
      <c r="FT2" s="139"/>
      <c r="FU2" s="139"/>
      <c r="FV2" s="139"/>
      <c r="FW2" s="139"/>
      <c r="FX2" s="139"/>
      <c r="FY2" s="139"/>
      <c r="FZ2" s="139"/>
      <c r="GA2" s="140"/>
      <c r="GB2" s="138" t="s">
        <v>43</v>
      </c>
      <c r="GC2" s="139"/>
      <c r="GD2" s="139"/>
      <c r="GE2" s="139"/>
      <c r="GF2" s="139"/>
      <c r="GG2" s="139"/>
      <c r="GH2" s="139"/>
      <c r="GI2" s="139"/>
      <c r="GJ2" s="139"/>
      <c r="GK2" s="139"/>
      <c r="GL2" s="139"/>
      <c r="GM2" s="139"/>
      <c r="GN2" s="139"/>
      <c r="GO2" s="139"/>
      <c r="GP2" s="139"/>
      <c r="GQ2" s="139"/>
      <c r="GR2" s="139"/>
      <c r="GS2" s="139"/>
      <c r="GT2" s="139"/>
      <c r="GU2" s="139"/>
      <c r="GV2" s="139"/>
      <c r="GW2" s="139"/>
      <c r="GX2" s="139"/>
      <c r="GY2" s="139"/>
      <c r="GZ2" s="139"/>
      <c r="HA2" s="139"/>
      <c r="HB2" s="139"/>
      <c r="HC2" s="139"/>
      <c r="HD2" s="139"/>
      <c r="HE2" s="139"/>
      <c r="HF2" s="139"/>
      <c r="HG2" s="139"/>
      <c r="HH2" s="139"/>
      <c r="HI2" s="139"/>
      <c r="HJ2" s="139"/>
      <c r="HK2" s="139"/>
      <c r="HL2" s="139"/>
      <c r="HM2" s="139"/>
      <c r="HN2" s="139"/>
      <c r="HO2" s="139"/>
      <c r="HP2" s="139"/>
      <c r="HQ2" s="139"/>
      <c r="HR2" s="139"/>
      <c r="HS2" s="139"/>
      <c r="HT2" s="139"/>
      <c r="HU2" s="139"/>
      <c r="HV2" s="139"/>
      <c r="HW2" s="139"/>
      <c r="HX2" s="139"/>
      <c r="HY2" s="139"/>
      <c r="HZ2" s="139"/>
      <c r="IA2" s="139"/>
      <c r="IB2" s="139"/>
      <c r="IC2" s="139"/>
      <c r="ID2" s="139"/>
      <c r="IE2" s="139"/>
      <c r="IF2" s="139"/>
      <c r="IG2" s="139"/>
      <c r="IH2" s="139"/>
      <c r="II2" s="139"/>
      <c r="IJ2" s="139"/>
      <c r="IK2" s="139"/>
      <c r="IL2" s="139"/>
      <c r="IM2" s="139"/>
      <c r="IN2" s="139"/>
      <c r="IO2" s="139"/>
      <c r="IP2" s="139"/>
      <c r="IQ2" s="139"/>
      <c r="IR2" s="139"/>
      <c r="IS2" s="139"/>
      <c r="IT2" s="139"/>
      <c r="IU2" s="139"/>
      <c r="IV2" s="139"/>
      <c r="IW2" s="139"/>
      <c r="IX2" s="139"/>
      <c r="IY2" s="139"/>
      <c r="IZ2" s="139"/>
      <c r="JA2" s="139"/>
      <c r="JB2" s="139"/>
      <c r="JC2" s="139"/>
      <c r="JD2" s="139"/>
      <c r="JE2" s="139"/>
      <c r="JF2" s="139"/>
      <c r="JG2" s="139"/>
      <c r="JH2" s="139"/>
      <c r="JI2" s="139"/>
      <c r="JJ2" s="139"/>
      <c r="JK2" s="139"/>
      <c r="JL2" s="139"/>
      <c r="JM2" s="140"/>
      <c r="JN2" s="138" t="s">
        <v>44</v>
      </c>
      <c r="JO2" s="139"/>
      <c r="JP2" s="139"/>
      <c r="JQ2" s="139"/>
      <c r="JR2" s="139"/>
      <c r="JS2" s="139"/>
      <c r="JT2" s="139"/>
      <c r="JU2" s="139"/>
      <c r="JV2" s="139"/>
      <c r="JW2" s="139"/>
      <c r="JX2" s="139"/>
      <c r="JY2" s="139"/>
      <c r="JZ2" s="139"/>
      <c r="KA2" s="139"/>
      <c r="KB2" s="139"/>
      <c r="KC2" s="139"/>
      <c r="KD2" s="139"/>
      <c r="KE2" s="139"/>
      <c r="KF2" s="139"/>
      <c r="KG2" s="139"/>
      <c r="KH2" s="139"/>
      <c r="KI2" s="139"/>
      <c r="KJ2" s="139"/>
      <c r="KK2" s="139"/>
      <c r="KL2" s="139"/>
      <c r="KM2" s="139"/>
      <c r="KN2" s="139"/>
      <c r="KO2" s="139"/>
      <c r="KP2" s="139"/>
      <c r="KQ2" s="139"/>
      <c r="KR2" s="139"/>
      <c r="KS2" s="139"/>
      <c r="KT2" s="139"/>
      <c r="KU2" s="139"/>
      <c r="KV2" s="139"/>
      <c r="KW2" s="139"/>
      <c r="KX2" s="139"/>
      <c r="KY2" s="139"/>
      <c r="KZ2" s="139"/>
      <c r="LA2" s="139"/>
      <c r="LB2" s="139"/>
      <c r="LC2" s="139"/>
      <c r="LD2" s="139"/>
      <c r="LE2" s="139"/>
      <c r="LF2" s="139"/>
      <c r="LG2" s="139"/>
      <c r="LH2" s="139"/>
      <c r="LI2" s="139"/>
      <c r="LJ2" s="139"/>
      <c r="LK2" s="139"/>
      <c r="LL2" s="139"/>
      <c r="LM2" s="139"/>
      <c r="LN2" s="139"/>
      <c r="LO2" s="139"/>
      <c r="LP2" s="139"/>
      <c r="LQ2" s="139"/>
      <c r="LR2" s="139"/>
      <c r="LS2" s="139"/>
      <c r="LT2" s="139"/>
      <c r="LU2" s="139"/>
      <c r="LV2" s="139"/>
      <c r="LW2" s="139"/>
      <c r="LX2" s="139"/>
      <c r="LY2" s="139"/>
      <c r="LZ2" s="139"/>
      <c r="MA2" s="139"/>
      <c r="MB2" s="139"/>
      <c r="MC2" s="139"/>
      <c r="MD2" s="139"/>
      <c r="ME2" s="139"/>
      <c r="MF2" s="139"/>
      <c r="MG2" s="139"/>
      <c r="MH2" s="139"/>
      <c r="MI2" s="139"/>
      <c r="MJ2" s="139"/>
      <c r="MK2" s="139"/>
      <c r="ML2" s="139"/>
      <c r="MM2" s="139"/>
      <c r="MN2" s="139"/>
      <c r="MO2" s="139"/>
      <c r="MP2" s="139"/>
      <c r="MQ2" s="139"/>
      <c r="MR2" s="139"/>
      <c r="MS2" s="139"/>
      <c r="MT2" s="139"/>
      <c r="MU2" s="139"/>
      <c r="MV2" s="139"/>
      <c r="MW2" s="139"/>
      <c r="MX2" s="139"/>
      <c r="MY2" s="140"/>
    </row>
    <row r="3" spans="1:363" ht="19.5" customHeight="1" x14ac:dyDescent="0.2">
      <c r="A3" s="88"/>
      <c r="B3" s="141" t="s">
        <v>21</v>
      </c>
      <c r="C3" s="30">
        <v>99</v>
      </c>
      <c r="D3" s="89"/>
      <c r="E3" s="90"/>
      <c r="F3" s="91"/>
      <c r="G3" s="92"/>
      <c r="H3" s="90"/>
      <c r="I3" s="91"/>
      <c r="J3" s="92"/>
      <c r="K3" s="90"/>
      <c r="L3" s="91"/>
      <c r="M3" s="92"/>
      <c r="N3" s="90"/>
      <c r="O3" s="91"/>
      <c r="P3" s="125"/>
      <c r="Q3" s="123"/>
      <c r="R3" s="124"/>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122"/>
      <c r="CQ3" s="123"/>
      <c r="CR3" s="124"/>
      <c r="CS3" s="125"/>
      <c r="CT3" s="123"/>
      <c r="CU3" s="124"/>
      <c r="CV3" s="125"/>
      <c r="CW3" s="123"/>
      <c r="CX3" s="124"/>
      <c r="CY3" s="125"/>
      <c r="CZ3" s="123"/>
      <c r="DA3" s="124"/>
      <c r="DB3" s="125"/>
      <c r="DC3" s="123"/>
      <c r="DD3" s="124"/>
      <c r="DE3" s="125"/>
      <c r="DF3" s="123"/>
      <c r="DG3" s="124"/>
      <c r="DH3" s="125"/>
      <c r="DI3" s="123"/>
      <c r="DJ3" s="124"/>
      <c r="DK3" s="125"/>
      <c r="DL3" s="123"/>
      <c r="DM3" s="124"/>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125"/>
      <c r="GO3" s="123"/>
      <c r="GP3" s="124"/>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125"/>
      <c r="KA3" s="123"/>
      <c r="KB3" s="124"/>
      <c r="KC3" s="92"/>
      <c r="KD3" s="90"/>
      <c r="KE3" s="91"/>
      <c r="KF3" s="92"/>
      <c r="KG3" s="90"/>
      <c r="KH3" s="91"/>
      <c r="KI3" s="92"/>
      <c r="KJ3" s="90"/>
      <c r="KK3" s="91"/>
      <c r="KL3" s="125"/>
      <c r="KM3" s="123"/>
      <c r="KN3" s="124"/>
      <c r="KO3" s="125"/>
      <c r="KP3" s="123"/>
      <c r="KQ3" s="124"/>
      <c r="KR3" s="125"/>
      <c r="KS3" s="123"/>
      <c r="KT3" s="124"/>
      <c r="KU3" s="125"/>
      <c r="KV3" s="123"/>
      <c r="KW3" s="124"/>
      <c r="KX3" s="125"/>
      <c r="KY3" s="123"/>
      <c r="KZ3" s="124"/>
      <c r="LA3" s="125"/>
      <c r="LB3" s="123"/>
      <c r="LC3" s="124"/>
      <c r="LD3" s="125"/>
      <c r="LE3" s="123"/>
      <c r="LF3" s="124"/>
      <c r="LG3" s="125"/>
      <c r="LH3" s="123"/>
      <c r="LI3" s="124"/>
      <c r="LJ3" s="125"/>
      <c r="LK3" s="123"/>
      <c r="LL3" s="124"/>
      <c r="LM3" s="125"/>
      <c r="LN3" s="123"/>
      <c r="LO3" s="124"/>
      <c r="LP3" s="125"/>
      <c r="LQ3" s="123"/>
      <c r="LR3" s="124"/>
      <c r="LS3" s="125"/>
      <c r="LT3" s="123"/>
      <c r="LU3" s="124"/>
      <c r="LV3" s="125"/>
      <c r="LW3" s="123"/>
      <c r="LX3" s="124"/>
      <c r="LY3" s="125"/>
      <c r="LZ3" s="123"/>
      <c r="MA3" s="124"/>
      <c r="MB3" s="125"/>
      <c r="MC3" s="123"/>
      <c r="MD3" s="124"/>
      <c r="ME3" s="125"/>
      <c r="MF3" s="123"/>
      <c r="MG3" s="124"/>
      <c r="MH3" s="125"/>
      <c r="MI3" s="123"/>
      <c r="MJ3" s="124"/>
      <c r="MK3" s="125"/>
      <c r="ML3" s="123"/>
      <c r="MM3" s="124"/>
      <c r="MN3" s="125"/>
      <c r="MO3" s="123"/>
      <c r="MP3" s="124"/>
      <c r="MQ3" s="125"/>
      <c r="MR3" s="123"/>
      <c r="MS3" s="124"/>
      <c r="MT3" s="125"/>
      <c r="MU3" s="123"/>
      <c r="MV3" s="124"/>
      <c r="MW3" s="125"/>
      <c r="MX3" s="123"/>
      <c r="MY3" s="126"/>
    </row>
    <row r="4" spans="1:363" ht="19.5" customHeight="1" thickBot="1" x14ac:dyDescent="0.25">
      <c r="A4" s="88"/>
      <c r="B4" s="142"/>
      <c r="C4" s="44">
        <v>30</v>
      </c>
      <c r="D4" s="94"/>
      <c r="E4" s="95"/>
      <c r="F4" s="96"/>
      <c r="G4" s="97"/>
      <c r="H4" s="95"/>
      <c r="I4" s="96"/>
      <c r="J4" s="97"/>
      <c r="K4" s="95"/>
      <c r="L4" s="96"/>
      <c r="M4" s="97"/>
      <c r="N4" s="95"/>
      <c r="O4" s="96"/>
      <c r="P4" s="130"/>
      <c r="Q4" s="128"/>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130"/>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127"/>
      <c r="CQ4" s="128"/>
      <c r="CR4" s="129"/>
      <c r="CS4" s="130"/>
      <c r="CT4" s="128"/>
      <c r="CU4" s="129"/>
      <c r="CV4" s="130"/>
      <c r="CW4" s="128"/>
      <c r="CX4" s="129"/>
      <c r="CY4" s="130"/>
      <c r="CZ4" s="128"/>
      <c r="DA4" s="129"/>
      <c r="DB4" s="130"/>
      <c r="DC4" s="128"/>
      <c r="DD4" s="129"/>
      <c r="DE4" s="130"/>
      <c r="DF4" s="128"/>
      <c r="DG4" s="129"/>
      <c r="DH4" s="130"/>
      <c r="DI4" s="128"/>
      <c r="DJ4" s="129"/>
      <c r="DK4" s="130"/>
      <c r="DL4" s="128"/>
      <c r="DM4" s="129"/>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130"/>
      <c r="GU4" s="128"/>
      <c r="GV4" s="129"/>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43" t="str">
        <f>Donnees!$C$21</f>
        <v>Découverte du programme</v>
      </c>
      <c r="C5" s="99">
        <v>69</v>
      </c>
      <c r="D5" s="89"/>
      <c r="E5" s="90"/>
      <c r="F5" s="91"/>
      <c r="G5" s="92"/>
      <c r="H5" s="90"/>
      <c r="I5" s="91"/>
      <c r="J5" s="92"/>
      <c r="K5" s="90"/>
      <c r="L5" s="91"/>
      <c r="M5" s="92"/>
      <c r="N5" s="90"/>
      <c r="O5" s="91"/>
      <c r="P5" s="92"/>
      <c r="Q5" s="90"/>
      <c r="R5" s="91"/>
      <c r="S5" s="125"/>
      <c r="T5" s="123"/>
      <c r="U5" s="124"/>
      <c r="V5" s="125"/>
      <c r="W5" s="123"/>
      <c r="X5" s="124"/>
      <c r="Y5" s="125"/>
      <c r="Z5" s="123"/>
      <c r="AA5" s="91"/>
      <c r="AB5" s="125"/>
      <c r="AC5" s="123"/>
      <c r="AD5" s="124"/>
      <c r="AE5" s="125"/>
      <c r="AF5" s="123"/>
      <c r="AG5" s="124"/>
      <c r="AH5" s="125"/>
      <c r="AI5" s="123"/>
      <c r="AJ5" s="124"/>
      <c r="AK5" s="125"/>
      <c r="AL5" s="123"/>
      <c r="AM5" s="91"/>
      <c r="AN5" s="125"/>
      <c r="AO5" s="123"/>
      <c r="AP5" s="124"/>
      <c r="AQ5" s="125"/>
      <c r="AR5" s="123"/>
      <c r="AS5" s="124"/>
      <c r="AT5" s="125"/>
      <c r="AU5" s="123"/>
      <c r="AV5" s="124"/>
      <c r="AW5" s="125"/>
      <c r="AX5" s="123"/>
      <c r="AY5" s="124"/>
      <c r="AZ5" s="125"/>
      <c r="BA5" s="123"/>
      <c r="BB5" s="91"/>
      <c r="BC5" s="125"/>
      <c r="BD5" s="123"/>
      <c r="BE5" s="124"/>
      <c r="BF5" s="125"/>
      <c r="BG5" s="123"/>
      <c r="BH5" s="124"/>
      <c r="BI5" s="125"/>
      <c r="BJ5" s="123"/>
      <c r="BK5" s="124"/>
      <c r="BL5" s="125"/>
      <c r="BM5" s="123"/>
      <c r="BN5" s="91"/>
      <c r="BO5" s="125"/>
      <c r="BP5" s="123"/>
      <c r="BQ5" s="124"/>
      <c r="BR5" s="125"/>
      <c r="BS5" s="123"/>
      <c r="BT5" s="124"/>
      <c r="BU5" s="125"/>
      <c r="BV5" s="123"/>
      <c r="BW5" s="124"/>
      <c r="BX5" s="125"/>
      <c r="BY5" s="123"/>
      <c r="BZ5" s="124"/>
      <c r="CA5" s="125"/>
      <c r="CB5" s="123"/>
      <c r="CC5" s="91"/>
      <c r="CD5" s="125"/>
      <c r="CE5" s="123"/>
      <c r="CF5" s="124"/>
      <c r="CG5" s="125"/>
      <c r="CH5" s="123"/>
      <c r="CI5" s="124"/>
      <c r="CJ5" s="125"/>
      <c r="CK5" s="123"/>
      <c r="CL5" s="124"/>
      <c r="CM5" s="125"/>
      <c r="CN5" s="123"/>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37"/>
      <c r="C6" s="100">
        <v>64</v>
      </c>
      <c r="D6" s="94"/>
      <c r="E6" s="95"/>
      <c r="F6" s="96"/>
      <c r="G6" s="97"/>
      <c r="H6" s="95"/>
      <c r="I6" s="96"/>
      <c r="J6" s="97"/>
      <c r="K6" s="95"/>
      <c r="L6" s="96"/>
      <c r="M6" s="97"/>
      <c r="N6" s="95"/>
      <c r="O6" s="96"/>
      <c r="P6" s="97"/>
      <c r="Q6" s="95"/>
      <c r="R6" s="129"/>
      <c r="S6" s="130"/>
      <c r="T6" s="128"/>
      <c r="U6" s="129"/>
      <c r="V6" s="130"/>
      <c r="W6" s="128"/>
      <c r="X6" s="129"/>
      <c r="Y6" s="130"/>
      <c r="Z6" s="128"/>
      <c r="AA6" s="96"/>
      <c r="AB6" s="130"/>
      <c r="AC6" s="128"/>
      <c r="AD6" s="129"/>
      <c r="AE6" s="130"/>
      <c r="AF6" s="128"/>
      <c r="AG6" s="129"/>
      <c r="AH6" s="130"/>
      <c r="AI6" s="128"/>
      <c r="AJ6" s="129"/>
      <c r="AK6" s="130"/>
      <c r="AL6" s="128"/>
      <c r="AM6" s="96"/>
      <c r="AN6" s="130"/>
      <c r="AO6" s="128"/>
      <c r="AP6" s="129"/>
      <c r="AQ6" s="130"/>
      <c r="AR6" s="128"/>
      <c r="AS6" s="129"/>
      <c r="AT6" s="130"/>
      <c r="AU6" s="128"/>
      <c r="AV6" s="129"/>
      <c r="AW6" s="130"/>
      <c r="AX6" s="128"/>
      <c r="AY6" s="129"/>
      <c r="AZ6" s="130"/>
      <c r="BA6" s="128"/>
      <c r="BB6" s="96"/>
      <c r="BC6" s="130"/>
      <c r="BD6" s="128"/>
      <c r="BE6" s="129"/>
      <c r="BF6" s="130"/>
      <c r="BG6" s="128"/>
      <c r="BH6" s="129"/>
      <c r="BI6" s="130"/>
      <c r="BJ6" s="128"/>
      <c r="BK6" s="129"/>
      <c r="BL6" s="130"/>
      <c r="BM6" s="128"/>
      <c r="BN6" s="96"/>
      <c r="BO6" s="97"/>
      <c r="BP6" s="128"/>
      <c r="BQ6" s="129"/>
      <c r="BR6" s="130"/>
      <c r="BS6" s="128"/>
      <c r="BT6" s="129"/>
      <c r="BU6" s="130"/>
      <c r="BV6" s="128"/>
      <c r="BW6" s="129"/>
      <c r="BX6" s="130"/>
      <c r="BY6" s="128"/>
      <c r="BZ6" s="96"/>
      <c r="CA6" s="97"/>
      <c r="CB6" s="95"/>
      <c r="CC6" s="96"/>
      <c r="CD6" s="97"/>
      <c r="CE6" s="95"/>
      <c r="CF6" s="96"/>
      <c r="CG6" s="97"/>
      <c r="CH6" s="95"/>
      <c r="CI6" s="96"/>
      <c r="CJ6" s="130"/>
      <c r="CK6" s="128"/>
      <c r="CL6" s="129"/>
      <c r="CM6" s="130"/>
      <c r="CN6" s="128"/>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128"/>
      <c r="EB6" s="129"/>
      <c r="EC6" s="130"/>
      <c r="ED6" s="128"/>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36"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37"/>
      <c r="C8" s="100">
        <v>13</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130"/>
      <c r="DO8" s="128"/>
      <c r="DP8" s="129"/>
      <c r="DQ8" s="130"/>
      <c r="DR8" s="128"/>
      <c r="DS8" s="129"/>
      <c r="DT8" s="97"/>
      <c r="DU8" s="95"/>
      <c r="DV8" s="96"/>
      <c r="DW8" s="97"/>
      <c r="DX8" s="95"/>
      <c r="DY8" s="96"/>
      <c r="DZ8" s="130"/>
      <c r="EA8" s="95"/>
      <c r="EB8" s="96"/>
      <c r="EC8" s="97"/>
      <c r="ED8" s="95"/>
      <c r="EE8" s="129"/>
      <c r="EF8" s="97"/>
      <c r="EG8" s="95"/>
      <c r="EH8" s="96"/>
      <c r="EI8" s="97"/>
      <c r="EJ8" s="95"/>
      <c r="EK8" s="96"/>
      <c r="EL8" s="97"/>
      <c r="EM8" s="95"/>
      <c r="EN8" s="96"/>
      <c r="EO8" s="97"/>
      <c r="EP8" s="95"/>
      <c r="EQ8" s="96"/>
      <c r="ER8" s="97"/>
      <c r="ES8" s="95"/>
      <c r="ET8" s="96"/>
      <c r="EU8" s="97"/>
      <c r="EV8" s="95"/>
      <c r="EW8" s="96"/>
      <c r="EX8" s="97"/>
      <c r="EY8" s="95"/>
      <c r="EZ8" s="96"/>
      <c r="FA8" s="130"/>
      <c r="FB8" s="128"/>
      <c r="FC8" s="129"/>
      <c r="FD8" s="97"/>
      <c r="FE8" s="95"/>
      <c r="FF8" s="96"/>
      <c r="FG8" s="97"/>
      <c r="FH8" s="95"/>
      <c r="FI8" s="96"/>
      <c r="FJ8" s="97"/>
      <c r="FK8" s="95"/>
      <c r="FL8" s="96"/>
      <c r="FM8" s="97"/>
      <c r="FN8" s="95"/>
      <c r="FO8" s="96"/>
      <c r="FP8" s="97"/>
      <c r="FQ8" s="95"/>
      <c r="FR8" s="96"/>
      <c r="FS8" s="97"/>
      <c r="FT8" s="95"/>
      <c r="FU8" s="96"/>
      <c r="FV8" s="97"/>
      <c r="FW8" s="95"/>
      <c r="FX8" s="96"/>
      <c r="FY8" s="130"/>
      <c r="FZ8" s="128"/>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36" t="str">
        <f>Donnees!$C$23</f>
        <v>Création de l'application</v>
      </c>
      <c r="C9" s="99">
        <v>7</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125"/>
      <c r="DR9" s="123"/>
      <c r="DS9" s="124"/>
      <c r="DT9" s="125"/>
      <c r="DU9" s="123"/>
      <c r="DV9" s="124"/>
      <c r="DW9" s="125"/>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37"/>
      <c r="C10" s="100">
        <v>12</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129"/>
      <c r="CA10" s="130"/>
      <c r="CB10" s="128"/>
      <c r="CC10" s="96"/>
      <c r="CD10" s="130"/>
      <c r="CE10" s="128"/>
      <c r="CF10" s="129"/>
      <c r="CG10" s="130"/>
      <c r="CH10" s="128"/>
      <c r="CI10" s="129"/>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129"/>
      <c r="DW10" s="130"/>
      <c r="DX10" s="128"/>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36" t="str">
        <f>Donnees!$C$24</f>
        <v>Création des options</v>
      </c>
      <c r="C11" s="99">
        <v>24</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125"/>
      <c r="EA11" s="123"/>
      <c r="EB11" s="124"/>
      <c r="EC11" s="125"/>
      <c r="ED11" s="123"/>
      <c r="EE11" s="124"/>
      <c r="EF11" s="125"/>
      <c r="EG11" s="123"/>
      <c r="EH11" s="124"/>
      <c r="EI11" s="125"/>
      <c r="EJ11" s="123"/>
      <c r="EK11" s="124"/>
      <c r="EL11" s="125"/>
      <c r="EM11" s="123"/>
      <c r="EN11" s="91"/>
      <c r="EO11" s="125"/>
      <c r="EP11" s="123"/>
      <c r="EQ11" s="124"/>
      <c r="ER11" s="125"/>
      <c r="ES11" s="123"/>
      <c r="ET11" s="124"/>
      <c r="EU11" s="125"/>
      <c r="EV11" s="123"/>
      <c r="EW11" s="124"/>
      <c r="EX11" s="125"/>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37"/>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36"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37"/>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36"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37"/>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36" t="str">
        <f>Donnees!$C$27</f>
        <v>Insertion Module, notes</v>
      </c>
      <c r="C17" s="99">
        <v>24</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125"/>
      <c r="FB17" s="123"/>
      <c r="FC17" s="124"/>
      <c r="FD17" s="125"/>
      <c r="FE17" s="123"/>
      <c r="FF17" s="124"/>
      <c r="FG17" s="125"/>
      <c r="FH17" s="123"/>
      <c r="FI17" s="124"/>
      <c r="FJ17" s="125"/>
      <c r="FK17" s="123"/>
      <c r="FL17" s="124"/>
      <c r="FM17" s="125"/>
      <c r="FN17" s="123"/>
      <c r="FO17" s="91"/>
      <c r="FP17" s="125"/>
      <c r="FQ17" s="123"/>
      <c r="FR17" s="124"/>
      <c r="FS17" s="125"/>
      <c r="FT17" s="123"/>
      <c r="FU17" s="124"/>
      <c r="FV17" s="125"/>
      <c r="FW17" s="123"/>
      <c r="FX17" s="124"/>
      <c r="FY17" s="125"/>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37"/>
      <c r="C18" s="100">
        <v>50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130"/>
      <c r="EP18" s="128"/>
      <c r="EQ18" s="129"/>
      <c r="ER18" s="130"/>
      <c r="ES18" s="128"/>
      <c r="ET18" s="129"/>
      <c r="EU18" s="130"/>
      <c r="EV18" s="128"/>
      <c r="EW18" s="129"/>
      <c r="EX18" s="130"/>
      <c r="EY18" s="128"/>
      <c r="EZ18" s="96"/>
      <c r="FA18" s="97"/>
      <c r="FB18" s="95"/>
      <c r="FC18" s="96"/>
      <c r="FD18" s="130"/>
      <c r="FE18" s="128"/>
      <c r="FF18" s="129"/>
      <c r="FG18" s="130"/>
      <c r="FH18" s="128"/>
      <c r="FI18" s="129"/>
      <c r="FJ18" s="130"/>
      <c r="FK18" s="128"/>
      <c r="FL18" s="129"/>
      <c r="FM18" s="130"/>
      <c r="FN18" s="128"/>
      <c r="FO18" s="96"/>
      <c r="FP18" s="130"/>
      <c r="FQ18" s="128"/>
      <c r="FR18" s="129"/>
      <c r="FS18" s="130"/>
      <c r="FT18" s="128"/>
      <c r="FU18" s="129"/>
      <c r="FV18" s="130"/>
      <c r="FW18" s="128"/>
      <c r="FX18" s="129"/>
      <c r="FY18" s="97"/>
      <c r="FZ18" s="95"/>
      <c r="GA18" s="98"/>
      <c r="GB18" s="127"/>
      <c r="GC18" s="128"/>
      <c r="GD18" s="129"/>
      <c r="GE18" s="130"/>
      <c r="GF18" s="128"/>
      <c r="GG18" s="129"/>
      <c r="GH18" s="130"/>
      <c r="GI18" s="128"/>
      <c r="GJ18" s="129"/>
      <c r="GK18" s="130"/>
      <c r="GL18" s="128"/>
      <c r="GM18" s="96"/>
      <c r="GN18" s="130"/>
      <c r="GO18" s="128"/>
      <c r="GP18" s="129"/>
      <c r="GQ18" s="130"/>
      <c r="GR18" s="128"/>
      <c r="GS18" s="129"/>
      <c r="GT18" s="97"/>
      <c r="GU18" s="95"/>
      <c r="GV18" s="96"/>
      <c r="GW18" s="130"/>
      <c r="GX18" s="128"/>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36" t="str">
        <f>Donnees!$C$28</f>
        <v>Calcule automatique des moyennes</v>
      </c>
      <c r="C19" s="99">
        <v>14</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125"/>
      <c r="GR19" s="123"/>
      <c r="GS19" s="124"/>
      <c r="GT19" s="125"/>
      <c r="GU19" s="123"/>
      <c r="GV19" s="124"/>
      <c r="GW19" s="125"/>
      <c r="GX19" s="90"/>
      <c r="GY19" s="91"/>
      <c r="GZ19" s="125"/>
      <c r="HA19" s="123"/>
      <c r="HB19" s="124"/>
      <c r="HC19" s="125"/>
      <c r="HD19" s="123"/>
      <c r="HE19" s="124"/>
      <c r="HF19" s="125"/>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37"/>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36" t="str">
        <f>Donnees!$C$29</f>
        <v>Affichage des résultats</v>
      </c>
      <c r="C21" s="99">
        <v>14</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125"/>
      <c r="HM21" s="123"/>
      <c r="HN21" s="124"/>
      <c r="HO21" s="125"/>
      <c r="HP21" s="123"/>
      <c r="HQ21" s="124"/>
      <c r="HR21" s="125"/>
      <c r="HS21" s="123"/>
      <c r="HT21" s="124"/>
      <c r="HU21" s="125"/>
      <c r="HV21" s="123"/>
      <c r="HW21" s="124"/>
      <c r="HX21" s="125"/>
      <c r="HY21" s="123"/>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37"/>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36"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37"/>
      <c r="C24" s="100">
        <v>8</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130"/>
      <c r="EG24" s="128"/>
      <c r="EH24" s="129"/>
      <c r="EI24" s="130"/>
      <c r="EJ24" s="128"/>
      <c r="EK24" s="129"/>
      <c r="EL24" s="130"/>
      <c r="EM24" s="128"/>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36"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37"/>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36" t="str">
        <f>Donnees!$C$32</f>
        <v>Test</v>
      </c>
      <c r="C27" s="99">
        <v>25</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122"/>
      <c r="GC27" s="123"/>
      <c r="GD27" s="124"/>
      <c r="GE27" s="125"/>
      <c r="GF27" s="123"/>
      <c r="GG27" s="124"/>
      <c r="GH27" s="125"/>
      <c r="GI27" s="123"/>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123"/>
      <c r="HH27" s="124"/>
      <c r="HI27" s="125"/>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125"/>
      <c r="IN27" s="123"/>
      <c r="IO27" s="124"/>
      <c r="IP27" s="125"/>
      <c r="IQ27" s="123"/>
      <c r="IR27" s="124"/>
      <c r="IS27" s="125"/>
      <c r="IT27" s="123"/>
      <c r="IU27" s="124"/>
      <c r="IV27" s="125"/>
      <c r="IW27" s="123"/>
      <c r="IX27" s="124"/>
      <c r="IY27" s="125"/>
      <c r="IZ27" s="123"/>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37"/>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36" t="str">
        <f>Donnees!$C$33</f>
        <v>Réparation des bugs</v>
      </c>
      <c r="C29" s="99">
        <v>8</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125"/>
      <c r="JC29" s="123"/>
      <c r="JD29" s="124"/>
      <c r="JE29" s="125"/>
      <c r="JF29" s="123"/>
      <c r="JG29" s="124"/>
      <c r="JH29" s="125"/>
      <c r="JI29" s="123"/>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37"/>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36" t="str">
        <f>Donnees!$C$34</f>
        <v>Documentation</v>
      </c>
      <c r="C31" s="99">
        <v>50</v>
      </c>
      <c r="D31" s="122"/>
      <c r="E31" s="123"/>
      <c r="F31" s="124"/>
      <c r="G31" s="125"/>
      <c r="H31" s="123"/>
      <c r="I31" s="91"/>
      <c r="J31" s="92"/>
      <c r="K31" s="90"/>
      <c r="L31" s="91"/>
      <c r="M31" s="92"/>
      <c r="N31" s="90"/>
      <c r="O31" s="124"/>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125"/>
      <c r="DO31" s="123"/>
      <c r="DP31" s="124"/>
      <c r="DQ31" s="92"/>
      <c r="DR31" s="90"/>
      <c r="DS31" s="91"/>
      <c r="DT31" s="92"/>
      <c r="DU31" s="90"/>
      <c r="DV31" s="91"/>
      <c r="DW31" s="92"/>
      <c r="DX31" s="123"/>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123"/>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123"/>
      <c r="GA31" s="93"/>
      <c r="GB31" s="89"/>
      <c r="GC31" s="90"/>
      <c r="GD31" s="91"/>
      <c r="GE31" s="92"/>
      <c r="GF31" s="90"/>
      <c r="GG31" s="91"/>
      <c r="GH31" s="92"/>
      <c r="GI31" s="90"/>
      <c r="GJ31" s="124"/>
      <c r="GK31" s="125"/>
      <c r="GL31" s="123"/>
      <c r="GM31" s="91"/>
      <c r="GN31" s="92"/>
      <c r="GO31" s="90"/>
      <c r="GP31" s="91"/>
      <c r="GQ31" s="92"/>
      <c r="GR31" s="90"/>
      <c r="GS31" s="91"/>
      <c r="GT31" s="92"/>
      <c r="GU31" s="90"/>
      <c r="GV31" s="91"/>
      <c r="GW31" s="92"/>
      <c r="GX31" s="123"/>
      <c r="GY31" s="91"/>
      <c r="GZ31" s="92"/>
      <c r="HA31" s="90"/>
      <c r="HB31" s="91"/>
      <c r="HC31" s="92"/>
      <c r="HD31" s="90"/>
      <c r="HE31" s="91"/>
      <c r="HF31" s="92"/>
      <c r="HG31" s="90"/>
      <c r="HH31" s="91"/>
      <c r="HI31" s="92"/>
      <c r="HJ31" s="123"/>
      <c r="HK31" s="91"/>
      <c r="HL31" s="92"/>
      <c r="HM31" s="90"/>
      <c r="HN31" s="91"/>
      <c r="HO31" s="92"/>
      <c r="HP31" s="90"/>
      <c r="HQ31" s="91"/>
      <c r="HR31" s="92"/>
      <c r="HS31" s="90"/>
      <c r="HT31" s="91"/>
      <c r="HU31" s="92"/>
      <c r="HV31" s="90"/>
      <c r="HW31" s="91"/>
      <c r="HX31" s="92"/>
      <c r="HY31" s="90"/>
      <c r="HZ31" s="91"/>
      <c r="IA31" s="125"/>
      <c r="IB31" s="123"/>
      <c r="IC31" s="124"/>
      <c r="ID31" s="125"/>
      <c r="IE31" s="123"/>
      <c r="IF31" s="124"/>
      <c r="IG31" s="125"/>
      <c r="IH31" s="123"/>
      <c r="II31" s="124"/>
      <c r="IJ31" s="125"/>
      <c r="IK31" s="123"/>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124"/>
      <c r="JK31" s="125"/>
      <c r="JL31" s="123"/>
      <c r="JM31" s="93"/>
      <c r="JN31" s="122"/>
      <c r="JO31" s="123"/>
      <c r="JP31" s="124"/>
      <c r="JQ31" s="125"/>
      <c r="JR31" s="123"/>
      <c r="JS31" s="124"/>
      <c r="JT31" s="125"/>
      <c r="JU31" s="123"/>
      <c r="JV31" s="124"/>
      <c r="JW31" s="125"/>
      <c r="JX31" s="123"/>
      <c r="JY31" s="91"/>
      <c r="JZ31" s="92"/>
      <c r="KA31" s="90"/>
      <c r="KB31" s="91"/>
      <c r="KC31" s="125"/>
      <c r="KD31" s="123"/>
      <c r="KE31" s="124"/>
      <c r="KF31" s="125"/>
      <c r="KG31" s="123"/>
      <c r="KH31" s="124"/>
      <c r="KI31" s="125"/>
      <c r="KJ31" s="123"/>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37"/>
      <c r="C32" s="100">
        <v>8</v>
      </c>
      <c r="D32" s="127"/>
      <c r="E32" s="128"/>
      <c r="F32" s="129"/>
      <c r="G32" s="130"/>
      <c r="H32" s="128"/>
      <c r="I32" s="129"/>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130"/>
      <c r="DU32" s="128"/>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36" t="str">
        <f>Donnees!$C$35</f>
        <v>Journal de travail</v>
      </c>
      <c r="C33" s="99">
        <v>26</v>
      </c>
      <c r="D33" s="89"/>
      <c r="E33" s="90"/>
      <c r="F33" s="91"/>
      <c r="G33" s="92"/>
      <c r="H33" s="90"/>
      <c r="I33" s="124"/>
      <c r="J33" s="125"/>
      <c r="K33" s="123"/>
      <c r="L33" s="124"/>
      <c r="M33" s="125"/>
      <c r="N33" s="123"/>
      <c r="O33" s="91"/>
      <c r="P33" s="92"/>
      <c r="Q33" s="90"/>
      <c r="R33" s="91"/>
      <c r="S33" s="92"/>
      <c r="T33" s="90"/>
      <c r="U33" s="91"/>
      <c r="V33" s="92"/>
      <c r="W33" s="90"/>
      <c r="X33" s="91"/>
      <c r="Y33" s="92"/>
      <c r="Z33" s="90"/>
      <c r="AA33" s="124"/>
      <c r="AB33" s="92"/>
      <c r="AC33" s="90"/>
      <c r="AD33" s="91"/>
      <c r="AE33" s="92"/>
      <c r="AF33" s="90"/>
      <c r="AG33" s="91"/>
      <c r="AH33" s="92"/>
      <c r="AI33" s="90"/>
      <c r="AJ33" s="91"/>
      <c r="AK33" s="92"/>
      <c r="AL33" s="90"/>
      <c r="AM33" s="124"/>
      <c r="AN33" s="92"/>
      <c r="AO33" s="90"/>
      <c r="AP33" s="91"/>
      <c r="AQ33" s="92"/>
      <c r="AR33" s="90"/>
      <c r="AS33" s="91"/>
      <c r="AT33" s="92"/>
      <c r="AU33" s="90"/>
      <c r="AV33" s="91"/>
      <c r="AW33" s="92"/>
      <c r="AX33" s="90"/>
      <c r="AY33" s="91"/>
      <c r="AZ33" s="92"/>
      <c r="BA33" s="90"/>
      <c r="BB33" s="124"/>
      <c r="BC33" s="92"/>
      <c r="BD33" s="90"/>
      <c r="BE33" s="91"/>
      <c r="BF33" s="92"/>
      <c r="BG33" s="90"/>
      <c r="BH33" s="91"/>
      <c r="BI33" s="92"/>
      <c r="BJ33" s="90"/>
      <c r="BK33" s="91"/>
      <c r="BL33" s="92"/>
      <c r="BM33" s="90"/>
      <c r="BN33" s="124"/>
      <c r="BO33" s="92"/>
      <c r="BP33" s="90"/>
      <c r="BQ33" s="91"/>
      <c r="BR33" s="92"/>
      <c r="BS33" s="90"/>
      <c r="BT33" s="91"/>
      <c r="BU33" s="92"/>
      <c r="BV33" s="90"/>
      <c r="BW33" s="91"/>
      <c r="BX33" s="92"/>
      <c r="BY33" s="90"/>
      <c r="BZ33" s="91"/>
      <c r="CA33" s="92"/>
      <c r="CB33" s="90"/>
      <c r="CC33" s="124"/>
      <c r="CD33" s="92"/>
      <c r="CE33" s="90"/>
      <c r="CF33" s="91"/>
      <c r="CG33" s="92"/>
      <c r="CH33" s="90"/>
      <c r="CI33" s="91"/>
      <c r="CJ33" s="92"/>
      <c r="CK33" s="90"/>
      <c r="CL33" s="91"/>
      <c r="CM33" s="92"/>
      <c r="CN33" s="90"/>
      <c r="CO33" s="126"/>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124"/>
      <c r="DZ33" s="92"/>
      <c r="EA33" s="90"/>
      <c r="EB33" s="91"/>
      <c r="EC33" s="92"/>
      <c r="ED33" s="90"/>
      <c r="EE33" s="91"/>
      <c r="EF33" s="92"/>
      <c r="EG33" s="90"/>
      <c r="EH33" s="91"/>
      <c r="EI33" s="92"/>
      <c r="EJ33" s="90"/>
      <c r="EK33" s="91"/>
      <c r="EL33" s="92"/>
      <c r="EM33" s="90"/>
      <c r="EN33" s="124"/>
      <c r="EO33" s="92"/>
      <c r="EP33" s="90"/>
      <c r="EQ33" s="91"/>
      <c r="ER33" s="92"/>
      <c r="ES33" s="90"/>
      <c r="ET33" s="91"/>
      <c r="EU33" s="92"/>
      <c r="EV33" s="90"/>
      <c r="EW33" s="91"/>
      <c r="EX33" s="92"/>
      <c r="EY33" s="90"/>
      <c r="EZ33" s="124"/>
      <c r="FA33" s="92"/>
      <c r="FB33" s="90"/>
      <c r="FC33" s="91"/>
      <c r="FD33" s="92"/>
      <c r="FE33" s="90"/>
      <c r="FF33" s="91"/>
      <c r="FG33" s="92"/>
      <c r="FH33" s="90"/>
      <c r="FI33" s="91"/>
      <c r="FJ33" s="92"/>
      <c r="FK33" s="90"/>
      <c r="FL33" s="91"/>
      <c r="FM33" s="92"/>
      <c r="FN33" s="90"/>
      <c r="FO33" s="124"/>
      <c r="FP33" s="92"/>
      <c r="FQ33" s="90"/>
      <c r="FR33" s="91"/>
      <c r="FS33" s="92"/>
      <c r="FT33" s="90"/>
      <c r="FU33" s="91"/>
      <c r="FV33" s="92"/>
      <c r="FW33" s="90"/>
      <c r="FX33" s="91"/>
      <c r="FY33" s="92"/>
      <c r="FZ33" s="90"/>
      <c r="GA33" s="126"/>
      <c r="GB33" s="89"/>
      <c r="GC33" s="90"/>
      <c r="GD33" s="91"/>
      <c r="GE33" s="92"/>
      <c r="GF33" s="90"/>
      <c r="GG33" s="91"/>
      <c r="GH33" s="92"/>
      <c r="GI33" s="90"/>
      <c r="GJ33" s="91"/>
      <c r="GK33" s="92"/>
      <c r="GL33" s="90"/>
      <c r="GM33" s="124"/>
      <c r="GN33" s="92"/>
      <c r="GO33" s="90"/>
      <c r="GP33" s="91"/>
      <c r="GQ33" s="92"/>
      <c r="GR33" s="90"/>
      <c r="GS33" s="91"/>
      <c r="GT33" s="92"/>
      <c r="GU33" s="90"/>
      <c r="GV33" s="91"/>
      <c r="GW33" s="92"/>
      <c r="GX33" s="90"/>
      <c r="GY33" s="124"/>
      <c r="GZ33" s="92"/>
      <c r="HA33" s="90"/>
      <c r="HB33" s="91"/>
      <c r="HC33" s="92"/>
      <c r="HD33" s="90"/>
      <c r="HE33" s="91"/>
      <c r="HF33" s="92"/>
      <c r="HG33" s="90"/>
      <c r="HH33" s="91"/>
      <c r="HI33" s="92"/>
      <c r="HJ33" s="90"/>
      <c r="HK33" s="124"/>
      <c r="HL33" s="92"/>
      <c r="HM33" s="90"/>
      <c r="HN33" s="91"/>
      <c r="HO33" s="92"/>
      <c r="HP33" s="90"/>
      <c r="HQ33" s="91"/>
      <c r="HR33" s="92"/>
      <c r="HS33" s="90"/>
      <c r="HT33" s="91"/>
      <c r="HU33" s="92"/>
      <c r="HV33" s="90"/>
      <c r="HW33" s="91"/>
      <c r="HX33" s="92"/>
      <c r="HY33" s="90"/>
      <c r="HZ33" s="124"/>
      <c r="IA33" s="92"/>
      <c r="IB33" s="90"/>
      <c r="IC33" s="91"/>
      <c r="ID33" s="92"/>
      <c r="IE33" s="90"/>
      <c r="IF33" s="91"/>
      <c r="IG33" s="92"/>
      <c r="IH33" s="90"/>
      <c r="II33" s="91"/>
      <c r="IJ33" s="92"/>
      <c r="IK33" s="90"/>
      <c r="IL33" s="124"/>
      <c r="IM33" s="92"/>
      <c r="IN33" s="90"/>
      <c r="IO33" s="91"/>
      <c r="IP33" s="92"/>
      <c r="IQ33" s="90"/>
      <c r="IR33" s="91"/>
      <c r="IS33" s="92"/>
      <c r="IT33" s="90"/>
      <c r="IU33" s="91"/>
      <c r="IV33" s="92"/>
      <c r="IW33" s="90"/>
      <c r="IX33" s="91"/>
      <c r="IY33" s="92"/>
      <c r="IZ33" s="90"/>
      <c r="JA33" s="124"/>
      <c r="JB33" s="92"/>
      <c r="JC33" s="90"/>
      <c r="JD33" s="91"/>
      <c r="JE33" s="92"/>
      <c r="JF33" s="90"/>
      <c r="JG33" s="91"/>
      <c r="JH33" s="92"/>
      <c r="JI33" s="90"/>
      <c r="JJ33" s="91"/>
      <c r="JK33" s="92"/>
      <c r="JL33" s="90"/>
      <c r="JM33" s="126"/>
      <c r="JN33" s="89"/>
      <c r="JO33" s="90"/>
      <c r="JP33" s="91"/>
      <c r="JQ33" s="92"/>
      <c r="JR33" s="90"/>
      <c r="JS33" s="91"/>
      <c r="JT33" s="92"/>
      <c r="JU33" s="90"/>
      <c r="JV33" s="91"/>
      <c r="JW33" s="92"/>
      <c r="JX33" s="90"/>
      <c r="JY33" s="124"/>
      <c r="JZ33" s="92"/>
      <c r="KA33" s="90"/>
      <c r="KB33" s="91"/>
      <c r="KC33" s="92"/>
      <c r="KD33" s="90"/>
      <c r="KE33" s="91"/>
      <c r="KF33" s="92"/>
      <c r="KG33" s="90"/>
      <c r="KH33" s="91"/>
      <c r="KI33" s="92"/>
      <c r="KJ33" s="90"/>
      <c r="KK33" s="124"/>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37"/>
      <c r="C34" s="100">
        <v>19</v>
      </c>
      <c r="D34" s="94"/>
      <c r="E34" s="95"/>
      <c r="F34" s="96"/>
      <c r="G34" s="97"/>
      <c r="H34" s="95"/>
      <c r="I34" s="96"/>
      <c r="J34" s="130"/>
      <c r="K34" s="128"/>
      <c r="L34" s="129"/>
      <c r="M34" s="130"/>
      <c r="N34" s="128"/>
      <c r="O34" s="129"/>
      <c r="P34" s="97"/>
      <c r="Q34" s="95"/>
      <c r="R34" s="96"/>
      <c r="S34" s="97"/>
      <c r="T34" s="95"/>
      <c r="U34" s="96"/>
      <c r="V34" s="97"/>
      <c r="W34" s="95"/>
      <c r="X34" s="96"/>
      <c r="Y34" s="97"/>
      <c r="Z34" s="95"/>
      <c r="AA34" s="129"/>
      <c r="AB34" s="97"/>
      <c r="AC34" s="95"/>
      <c r="AD34" s="96"/>
      <c r="AE34" s="97"/>
      <c r="AF34" s="95"/>
      <c r="AG34" s="96"/>
      <c r="AH34" s="97"/>
      <c r="AI34" s="95"/>
      <c r="AJ34" s="96"/>
      <c r="AK34" s="97"/>
      <c r="AL34" s="95"/>
      <c r="AM34" s="129"/>
      <c r="AN34" s="97"/>
      <c r="AO34" s="95"/>
      <c r="AP34" s="96"/>
      <c r="AQ34" s="97"/>
      <c r="AR34" s="95"/>
      <c r="AS34" s="96"/>
      <c r="AT34" s="97"/>
      <c r="AU34" s="95"/>
      <c r="AV34" s="96"/>
      <c r="AW34" s="97"/>
      <c r="AX34" s="95"/>
      <c r="AY34" s="96"/>
      <c r="AZ34" s="97"/>
      <c r="BA34" s="95"/>
      <c r="BB34" s="129"/>
      <c r="BC34" s="97"/>
      <c r="BD34" s="95"/>
      <c r="BE34" s="96"/>
      <c r="BF34" s="97"/>
      <c r="BG34" s="95"/>
      <c r="BH34" s="96"/>
      <c r="BI34" s="97"/>
      <c r="BJ34" s="95"/>
      <c r="BK34" s="96"/>
      <c r="BL34" s="97"/>
      <c r="BM34" s="95"/>
      <c r="BN34" s="129"/>
      <c r="BO34" s="97"/>
      <c r="BP34" s="95"/>
      <c r="BQ34" s="96"/>
      <c r="BR34" s="97"/>
      <c r="BS34" s="95"/>
      <c r="BT34" s="96"/>
      <c r="BU34" s="97"/>
      <c r="BV34" s="95"/>
      <c r="BW34" s="96"/>
      <c r="BX34" s="97"/>
      <c r="BY34" s="95"/>
      <c r="BZ34" s="96"/>
      <c r="CA34" s="97"/>
      <c r="CB34" s="95"/>
      <c r="CC34" s="129"/>
      <c r="CD34" s="97"/>
      <c r="CE34" s="95"/>
      <c r="CF34" s="96"/>
      <c r="CG34" s="97"/>
      <c r="CH34" s="95"/>
      <c r="CI34" s="96"/>
      <c r="CJ34" s="97"/>
      <c r="CK34" s="95"/>
      <c r="CL34" s="96"/>
      <c r="CM34" s="97"/>
      <c r="CN34" s="95"/>
      <c r="CO34" s="133"/>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129"/>
      <c r="DZ34" s="97"/>
      <c r="EA34" s="95"/>
      <c r="EB34" s="96"/>
      <c r="EC34" s="97"/>
      <c r="ED34" s="95"/>
      <c r="EE34" s="96"/>
      <c r="EF34" s="97"/>
      <c r="EG34" s="95"/>
      <c r="EH34" s="96"/>
      <c r="EI34" s="97"/>
      <c r="EJ34" s="95"/>
      <c r="EK34" s="96"/>
      <c r="EL34" s="97"/>
      <c r="EM34" s="95"/>
      <c r="EN34" s="129"/>
      <c r="EO34" s="97"/>
      <c r="EP34" s="95"/>
      <c r="EQ34" s="96"/>
      <c r="ER34" s="97"/>
      <c r="ES34" s="95"/>
      <c r="ET34" s="96"/>
      <c r="EU34" s="97"/>
      <c r="EV34" s="95"/>
      <c r="EW34" s="96"/>
      <c r="EX34" s="97"/>
      <c r="EY34" s="95"/>
      <c r="EZ34" s="129"/>
      <c r="FA34" s="97"/>
      <c r="FB34" s="95"/>
      <c r="FC34" s="96"/>
      <c r="FD34" s="97"/>
      <c r="FE34" s="95"/>
      <c r="FF34" s="96"/>
      <c r="FG34" s="97"/>
      <c r="FH34" s="95"/>
      <c r="FI34" s="96"/>
      <c r="FJ34" s="97"/>
      <c r="FK34" s="95"/>
      <c r="FL34" s="96"/>
      <c r="FM34" s="97"/>
      <c r="FN34" s="95"/>
      <c r="FO34" s="129"/>
      <c r="FP34" s="97"/>
      <c r="FQ34" s="95"/>
      <c r="FR34" s="96"/>
      <c r="FS34" s="97"/>
      <c r="FT34" s="95"/>
      <c r="FU34" s="96"/>
      <c r="FV34" s="97"/>
      <c r="FW34" s="95"/>
      <c r="FX34" s="96"/>
      <c r="FY34" s="97"/>
      <c r="FZ34" s="95"/>
      <c r="GA34" s="133"/>
      <c r="GB34" s="94"/>
      <c r="GC34" s="95"/>
      <c r="GD34" s="96"/>
      <c r="GE34" s="97"/>
      <c r="GF34" s="95"/>
      <c r="GG34" s="96"/>
      <c r="GH34" s="97"/>
      <c r="GI34" s="95"/>
      <c r="GJ34" s="96"/>
      <c r="GK34" s="97"/>
      <c r="GL34" s="95"/>
      <c r="GM34" s="129"/>
      <c r="GN34" s="97"/>
      <c r="GO34" s="95"/>
      <c r="GP34" s="96"/>
      <c r="GQ34" s="97"/>
      <c r="GR34" s="95"/>
      <c r="GS34" s="96"/>
      <c r="GT34" s="97"/>
      <c r="GU34" s="95"/>
      <c r="GV34" s="96"/>
      <c r="GW34" s="97"/>
      <c r="GX34" s="95"/>
      <c r="GY34" s="129"/>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360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204</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GB2:JM2"/>
    <mergeCell ref="JN2:MY2"/>
    <mergeCell ref="B27:B28"/>
    <mergeCell ref="B29:B30"/>
    <mergeCell ref="B31:B32"/>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1" t="s">
        <v>21</v>
      </c>
      <c r="C3" s="30">
        <v>0</v>
      </c>
    </row>
    <row r="4" spans="1:4" ht="19.5" customHeight="1" x14ac:dyDescent="0.2">
      <c r="A4" s="34"/>
      <c r="B4" s="14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26"/>
  <sheetViews>
    <sheetView view="pageBreakPreview" topLeftCell="A91" zoomScaleNormal="100" zoomScaleSheetLayoutView="100" workbookViewId="0">
      <selection activeCell="D97" sqref="D97"/>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4.25" thickBot="1" x14ac:dyDescent="0.25">
      <c r="A3" s="108"/>
      <c r="B3" s="109"/>
      <c r="C3" s="110" t="s">
        <v>52</v>
      </c>
      <c r="D3" s="111"/>
    </row>
    <row r="4" spans="1:4" s="81" customFormat="1" ht="13.5" x14ac:dyDescent="0.2">
      <c r="A4" s="9" t="s">
        <v>27</v>
      </c>
      <c r="B4" s="8">
        <v>4</v>
      </c>
      <c r="C4" s="13" t="s">
        <v>63</v>
      </c>
      <c r="D4" s="121" t="s">
        <v>71</v>
      </c>
    </row>
    <row r="5" spans="1:4" s="81" customFormat="1" ht="40.5" x14ac:dyDescent="0.2">
      <c r="A5" s="5" t="s">
        <v>27</v>
      </c>
      <c r="B5" s="6">
        <v>2</v>
      </c>
      <c r="C5" s="14" t="s">
        <v>64</v>
      </c>
      <c r="D5" s="14"/>
    </row>
    <row r="6" spans="1:4" s="81" customFormat="1" ht="13.5" x14ac:dyDescent="0.2">
      <c r="A6" s="5" t="s">
        <v>38</v>
      </c>
      <c r="B6" s="6">
        <v>1</v>
      </c>
      <c r="C6" s="14" t="s">
        <v>65</v>
      </c>
      <c r="D6" s="121" t="s">
        <v>71</v>
      </c>
    </row>
    <row r="7" spans="1:4" s="81" customFormat="1" ht="14.25" thickBot="1" x14ac:dyDescent="0.25">
      <c r="A7" s="5" t="s">
        <v>38</v>
      </c>
      <c r="B7" s="6">
        <v>5</v>
      </c>
      <c r="C7" s="14" t="s">
        <v>66</v>
      </c>
      <c r="D7" s="14"/>
    </row>
    <row r="8" spans="1:4" s="81" customFormat="1" ht="13.5" x14ac:dyDescent="0.2">
      <c r="A8" s="5"/>
      <c r="B8" s="6"/>
      <c r="C8" s="110" t="s">
        <v>85</v>
      </c>
      <c r="D8" s="14"/>
    </row>
    <row r="9" spans="1:4" s="81" customFormat="1" ht="13.5" x14ac:dyDescent="0.2">
      <c r="A9" s="5" t="s">
        <v>21</v>
      </c>
      <c r="B9" s="6">
        <v>2</v>
      </c>
      <c r="C9" s="14" t="s">
        <v>56</v>
      </c>
      <c r="D9" s="14"/>
    </row>
    <row r="10" spans="1:4" s="81" customFormat="1" ht="27" x14ac:dyDescent="0.2">
      <c r="A10" s="5" t="s">
        <v>28</v>
      </c>
      <c r="B10" s="6">
        <v>1</v>
      </c>
      <c r="C10" s="14" t="s">
        <v>67</v>
      </c>
      <c r="D10" s="14"/>
    </row>
    <row r="11" spans="1:4" s="81" customFormat="1" ht="54" x14ac:dyDescent="0.2">
      <c r="A11" s="5" t="s">
        <v>28</v>
      </c>
      <c r="B11" s="6">
        <v>4</v>
      </c>
      <c r="C11" s="14" t="s">
        <v>68</v>
      </c>
      <c r="D11" s="121" t="s">
        <v>69</v>
      </c>
    </row>
    <row r="12" spans="1:4" s="81" customFormat="1" ht="27" x14ac:dyDescent="0.2">
      <c r="A12" s="5" t="s">
        <v>28</v>
      </c>
      <c r="B12" s="6">
        <v>2</v>
      </c>
      <c r="C12" s="14" t="s">
        <v>72</v>
      </c>
      <c r="D12" s="121" t="s">
        <v>73</v>
      </c>
    </row>
    <row r="13" spans="1:4" s="81" customFormat="1" ht="27" x14ac:dyDescent="0.2">
      <c r="A13" s="5" t="s">
        <v>28</v>
      </c>
      <c r="B13" s="6">
        <v>2</v>
      </c>
      <c r="C13" s="14" t="s">
        <v>74</v>
      </c>
      <c r="D13" s="121" t="s">
        <v>75</v>
      </c>
    </row>
    <row r="14" spans="1:4" s="81" customFormat="1" ht="13.5" x14ac:dyDescent="0.2">
      <c r="A14" s="5" t="s">
        <v>38</v>
      </c>
      <c r="B14" s="6">
        <v>1</v>
      </c>
      <c r="C14" s="14" t="s">
        <v>70</v>
      </c>
      <c r="D14" s="14"/>
    </row>
    <row r="15" spans="1:4" s="81" customFormat="1" ht="13.5" x14ac:dyDescent="0.2">
      <c r="A15" s="112"/>
      <c r="B15" s="112"/>
      <c r="C15" s="113" t="s">
        <v>48</v>
      </c>
      <c r="D15" s="111"/>
    </row>
    <row r="16" spans="1:4" s="81" customFormat="1" ht="27" x14ac:dyDescent="0.2">
      <c r="A16" s="5" t="s">
        <v>28</v>
      </c>
      <c r="B16" s="6">
        <v>2</v>
      </c>
      <c r="C16" s="14" t="s">
        <v>77</v>
      </c>
      <c r="D16" s="121" t="s">
        <v>76</v>
      </c>
    </row>
    <row r="17" spans="1:4" s="81" customFormat="1" ht="27" x14ac:dyDescent="0.2">
      <c r="A17" s="5" t="s">
        <v>28</v>
      </c>
      <c r="B17" s="6">
        <v>4</v>
      </c>
      <c r="C17" s="14" t="s">
        <v>78</v>
      </c>
      <c r="D17" s="121" t="s">
        <v>79</v>
      </c>
    </row>
    <row r="18" spans="1:4" s="81" customFormat="1" ht="40.5" x14ac:dyDescent="0.2">
      <c r="A18" s="5" t="s">
        <v>28</v>
      </c>
      <c r="B18" s="6">
        <v>1</v>
      </c>
      <c r="C18" s="14" t="s">
        <v>80</v>
      </c>
      <c r="D18" s="121" t="s">
        <v>81</v>
      </c>
    </row>
    <row r="19" spans="1:4" s="81" customFormat="1" ht="27" x14ac:dyDescent="0.2">
      <c r="A19" s="5" t="s">
        <v>28</v>
      </c>
      <c r="B19" s="6">
        <v>3</v>
      </c>
      <c r="C19" s="14" t="s">
        <v>82</v>
      </c>
      <c r="D19" s="14"/>
    </row>
    <row r="20" spans="1:4" s="81" customFormat="1" ht="38.25" x14ac:dyDescent="0.2">
      <c r="A20" s="5" t="s">
        <v>28</v>
      </c>
      <c r="B20" s="6">
        <v>1</v>
      </c>
      <c r="C20" s="14" t="s">
        <v>83</v>
      </c>
      <c r="D20" s="121" t="s">
        <v>84</v>
      </c>
    </row>
    <row r="21" spans="1:4" s="81" customFormat="1" ht="13.5" x14ac:dyDescent="0.2">
      <c r="A21" s="5" t="s">
        <v>38</v>
      </c>
      <c r="B21" s="6">
        <v>1</v>
      </c>
      <c r="C21" s="14" t="s">
        <v>70</v>
      </c>
      <c r="D21" s="14"/>
    </row>
    <row r="22" spans="1:4" s="81" customFormat="1" ht="13.5" x14ac:dyDescent="0.2">
      <c r="A22" s="112"/>
      <c r="B22" s="112"/>
      <c r="C22" s="113" t="s">
        <v>49</v>
      </c>
      <c r="D22" s="111"/>
    </row>
    <row r="23" spans="1:4" s="81" customFormat="1" ht="27" x14ac:dyDescent="0.2">
      <c r="A23" s="5" t="s">
        <v>28</v>
      </c>
      <c r="B23" s="6">
        <v>2</v>
      </c>
      <c r="C23" s="14" t="s">
        <v>90</v>
      </c>
      <c r="D23" s="121" t="s">
        <v>86</v>
      </c>
    </row>
    <row r="24" spans="1:4" s="81" customFormat="1" ht="27" x14ac:dyDescent="0.2">
      <c r="A24" s="5" t="s">
        <v>28</v>
      </c>
      <c r="B24" s="6">
        <v>4</v>
      </c>
      <c r="C24" s="14" t="s">
        <v>87</v>
      </c>
      <c r="D24" s="14"/>
    </row>
    <row r="25" spans="1:4" s="81" customFormat="1" ht="54" x14ac:dyDescent="0.2">
      <c r="A25" s="5" t="s">
        <v>28</v>
      </c>
      <c r="B25" s="6">
        <v>2</v>
      </c>
      <c r="C25" s="14" t="s">
        <v>88</v>
      </c>
      <c r="D25" s="121" t="s">
        <v>89</v>
      </c>
    </row>
    <row r="26" spans="1:4" s="81" customFormat="1" ht="27" x14ac:dyDescent="0.2">
      <c r="A26" s="5" t="s">
        <v>28</v>
      </c>
      <c r="B26" s="79">
        <v>2</v>
      </c>
      <c r="C26" s="80" t="s">
        <v>91</v>
      </c>
      <c r="D26" s="80"/>
    </row>
    <row r="27" spans="1:4" s="81" customFormat="1" ht="27" x14ac:dyDescent="0.2">
      <c r="A27" s="5" t="s">
        <v>28</v>
      </c>
      <c r="B27" s="79">
        <v>2</v>
      </c>
      <c r="C27" s="80" t="s">
        <v>92</v>
      </c>
      <c r="D27" s="80"/>
    </row>
    <row r="28" spans="1:4" s="81" customFormat="1" ht="81" x14ac:dyDescent="0.2">
      <c r="A28" s="5" t="s">
        <v>28</v>
      </c>
      <c r="B28" s="79">
        <v>2</v>
      </c>
      <c r="C28" s="80" t="s">
        <v>93</v>
      </c>
      <c r="D28" s="80"/>
    </row>
    <row r="29" spans="1:4" s="81" customFormat="1" ht="14.25" thickBot="1" x14ac:dyDescent="0.25">
      <c r="A29" s="5" t="s">
        <v>38</v>
      </c>
      <c r="B29" s="6">
        <v>1</v>
      </c>
      <c r="C29" s="14" t="s">
        <v>70</v>
      </c>
      <c r="D29" s="80"/>
    </row>
    <row r="30" spans="1:4" s="81" customFormat="1" ht="13.5" x14ac:dyDescent="0.2">
      <c r="A30" s="131"/>
      <c r="B30" s="79"/>
      <c r="C30" s="110" t="s">
        <v>85</v>
      </c>
      <c r="D30" s="80"/>
    </row>
    <row r="31" spans="1:4" s="81" customFormat="1" ht="54" x14ac:dyDescent="0.2">
      <c r="A31" s="5" t="s">
        <v>28</v>
      </c>
      <c r="B31" s="79">
        <v>3</v>
      </c>
      <c r="C31" s="80" t="s">
        <v>94</v>
      </c>
      <c r="D31" s="80"/>
    </row>
    <row r="32" spans="1:4" s="81" customFormat="1" ht="27" x14ac:dyDescent="0.2">
      <c r="A32" s="5" t="s">
        <v>28</v>
      </c>
      <c r="B32" s="79">
        <v>3</v>
      </c>
      <c r="C32" s="80" t="s">
        <v>95</v>
      </c>
      <c r="D32" s="80"/>
    </row>
    <row r="33" spans="1:4" s="81" customFormat="1" ht="40.5" x14ac:dyDescent="0.2">
      <c r="A33" s="5" t="s">
        <v>28</v>
      </c>
      <c r="B33" s="79">
        <v>2</v>
      </c>
      <c r="C33" s="80" t="s">
        <v>100</v>
      </c>
      <c r="D33" s="132" t="s">
        <v>101</v>
      </c>
    </row>
    <row r="34" spans="1:4" s="81" customFormat="1" ht="27" x14ac:dyDescent="0.2">
      <c r="A34" s="5" t="s">
        <v>28</v>
      </c>
      <c r="B34" s="79">
        <v>1</v>
      </c>
      <c r="C34" s="80" t="s">
        <v>97</v>
      </c>
      <c r="D34" s="132" t="s">
        <v>98</v>
      </c>
    </row>
    <row r="35" spans="1:4" s="81" customFormat="1" ht="27" x14ac:dyDescent="0.2">
      <c r="A35" s="5" t="s">
        <v>28</v>
      </c>
      <c r="B35" s="79">
        <v>2</v>
      </c>
      <c r="C35" s="80" t="s">
        <v>96</v>
      </c>
      <c r="D35" s="132" t="s">
        <v>99</v>
      </c>
    </row>
    <row r="36" spans="1:4" s="81" customFormat="1" ht="13.5" x14ac:dyDescent="0.2">
      <c r="A36" s="5" t="s">
        <v>38</v>
      </c>
      <c r="B36" s="6">
        <v>1</v>
      </c>
      <c r="C36" s="80" t="s">
        <v>70</v>
      </c>
      <c r="D36" s="80"/>
    </row>
    <row r="37" spans="1:4" s="81" customFormat="1" ht="13.5" x14ac:dyDescent="0.2">
      <c r="A37" s="112"/>
      <c r="B37" s="112"/>
      <c r="C37" s="113" t="s">
        <v>49</v>
      </c>
      <c r="D37" s="111"/>
    </row>
    <row r="38" spans="1:4" s="81" customFormat="1" ht="13.5" x14ac:dyDescent="0.2">
      <c r="A38" s="5" t="s">
        <v>21</v>
      </c>
      <c r="B38" s="6">
        <v>1</v>
      </c>
      <c r="C38" s="80" t="s">
        <v>102</v>
      </c>
      <c r="D38" s="80"/>
    </row>
    <row r="39" spans="1:4" s="81" customFormat="1" ht="27" x14ac:dyDescent="0.2">
      <c r="A39" s="5" t="s">
        <v>28</v>
      </c>
      <c r="B39" s="6">
        <v>1</v>
      </c>
      <c r="C39" s="80" t="s">
        <v>103</v>
      </c>
      <c r="D39" s="132" t="s">
        <v>104</v>
      </c>
    </row>
    <row r="40" spans="1:4" s="81" customFormat="1" ht="27" x14ac:dyDescent="0.2">
      <c r="A40" s="5" t="s">
        <v>28</v>
      </c>
      <c r="B40" s="6">
        <v>3</v>
      </c>
      <c r="C40" s="80" t="s">
        <v>105</v>
      </c>
      <c r="D40" s="80"/>
    </row>
    <row r="41" spans="1:4" s="81" customFormat="1" ht="27" x14ac:dyDescent="0.2">
      <c r="A41" s="5" t="s">
        <v>28</v>
      </c>
      <c r="B41" s="6">
        <v>6</v>
      </c>
      <c r="C41" s="80" t="s">
        <v>108</v>
      </c>
      <c r="D41" s="80"/>
    </row>
    <row r="42" spans="1:4" s="81" customFormat="1" ht="27" x14ac:dyDescent="0.2">
      <c r="A42" s="5" t="s">
        <v>54</v>
      </c>
      <c r="B42" s="6">
        <v>3</v>
      </c>
      <c r="C42" s="80" t="s">
        <v>106</v>
      </c>
      <c r="D42" s="132" t="s">
        <v>107</v>
      </c>
    </row>
    <row r="43" spans="1:4" s="81" customFormat="1" ht="14.25" thickBot="1" x14ac:dyDescent="0.25">
      <c r="A43" s="5" t="s">
        <v>38</v>
      </c>
      <c r="B43" s="6">
        <v>1</v>
      </c>
      <c r="C43" s="80" t="s">
        <v>70</v>
      </c>
      <c r="D43" s="80"/>
    </row>
    <row r="44" spans="1:4" s="81" customFormat="1" ht="13.5" x14ac:dyDescent="0.2">
      <c r="A44" s="131"/>
      <c r="B44" s="79"/>
      <c r="C44" s="110" t="s">
        <v>85</v>
      </c>
      <c r="D44" s="80"/>
    </row>
    <row r="45" spans="1:4" s="81" customFormat="1" ht="27" x14ac:dyDescent="0.2">
      <c r="A45" s="5" t="s">
        <v>54</v>
      </c>
      <c r="B45" s="79">
        <v>6</v>
      </c>
      <c r="C45" s="80" t="s">
        <v>109</v>
      </c>
      <c r="D45" s="80"/>
    </row>
    <row r="46" spans="1:4" s="81" customFormat="1" ht="67.5" x14ac:dyDescent="0.2">
      <c r="A46" s="5" t="s">
        <v>28</v>
      </c>
      <c r="B46" s="79">
        <v>5</v>
      </c>
      <c r="C46" s="80" t="s">
        <v>110</v>
      </c>
      <c r="D46" s="132" t="s">
        <v>111</v>
      </c>
    </row>
    <row r="47" spans="1:4" s="81" customFormat="1" ht="13.5" x14ac:dyDescent="0.2">
      <c r="A47" s="5" t="s">
        <v>38</v>
      </c>
      <c r="B47" s="6">
        <v>1</v>
      </c>
      <c r="C47" s="80" t="s">
        <v>70</v>
      </c>
      <c r="D47" s="80"/>
    </row>
    <row r="48" spans="1:4" s="81" customFormat="1" ht="14.25" thickBot="1" x14ac:dyDescent="0.25">
      <c r="A48" s="7"/>
      <c r="B48" s="7"/>
      <c r="C48" s="15"/>
      <c r="D48" s="15"/>
    </row>
    <row r="49" spans="1:9" s="81" customFormat="1" ht="14.25" thickBot="1" x14ac:dyDescent="0.25">
      <c r="A49" s="76" t="s">
        <v>22</v>
      </c>
      <c r="B49" s="76">
        <f>SUM(B3:B48)</f>
        <v>90</v>
      </c>
      <c r="C49" s="83" t="s">
        <v>39</v>
      </c>
      <c r="D49" s="77"/>
    </row>
    <row r="50" spans="1:9" s="81" customFormat="1" ht="15" thickBot="1" x14ac:dyDescent="0.35">
      <c r="A50" s="78"/>
      <c r="B50" s="78"/>
      <c r="C50" s="78"/>
      <c r="D50" s="78"/>
    </row>
    <row r="51" spans="1:9" s="81" customFormat="1" ht="18.75" thickBot="1" x14ac:dyDescent="0.25">
      <c r="A51" s="71" t="s">
        <v>14</v>
      </c>
      <c r="B51" s="72">
        <v>2</v>
      </c>
      <c r="C51" s="73" t="s">
        <v>23</v>
      </c>
      <c r="D51" s="82">
        <v>42891</v>
      </c>
    </row>
    <row r="52" spans="1:9" s="81" customFormat="1" ht="27.75" thickBot="1" x14ac:dyDescent="0.25">
      <c r="A52" s="74" t="s">
        <v>3</v>
      </c>
      <c r="B52" s="75" t="s">
        <v>15</v>
      </c>
      <c r="C52" s="74" t="s">
        <v>7</v>
      </c>
      <c r="D52" s="74" t="s">
        <v>13</v>
      </c>
    </row>
    <row r="53" spans="1:9" s="81" customFormat="1" ht="13.5" x14ac:dyDescent="0.2">
      <c r="A53" s="108"/>
      <c r="B53" s="109"/>
      <c r="C53" s="110" t="s">
        <v>52</v>
      </c>
      <c r="D53" s="111"/>
    </row>
    <row r="54" spans="1:9" ht="13.5" x14ac:dyDescent="0.2">
      <c r="A54" s="5" t="s">
        <v>21</v>
      </c>
      <c r="B54" s="6">
        <v>24</v>
      </c>
      <c r="C54" s="14" t="s">
        <v>55</v>
      </c>
      <c r="D54" s="14"/>
    </row>
    <row r="55" spans="1:9" ht="13.5" x14ac:dyDescent="0.2">
      <c r="A55" s="112"/>
      <c r="B55" s="112"/>
      <c r="C55" s="113" t="s">
        <v>48</v>
      </c>
      <c r="D55" s="111"/>
    </row>
    <row r="56" spans="1:9" ht="67.5" x14ac:dyDescent="0.2">
      <c r="A56" s="5" t="s">
        <v>29</v>
      </c>
      <c r="B56" s="6">
        <v>6</v>
      </c>
      <c r="C56" s="14" t="s">
        <v>112</v>
      </c>
      <c r="D56" s="14"/>
    </row>
    <row r="57" spans="1:9" ht="25.5" x14ac:dyDescent="0.2">
      <c r="A57" s="5"/>
      <c r="B57" s="6"/>
      <c r="C57" s="14" t="s">
        <v>114</v>
      </c>
      <c r="D57" s="121" t="s">
        <v>113</v>
      </c>
    </row>
    <row r="58" spans="1:9" ht="13.5" x14ac:dyDescent="0.2">
      <c r="A58" s="5"/>
      <c r="B58" s="6"/>
      <c r="C58" s="14" t="s">
        <v>115</v>
      </c>
      <c r="D58" s="121" t="s">
        <v>116</v>
      </c>
    </row>
    <row r="59" spans="1:9" ht="25.5" x14ac:dyDescent="0.2">
      <c r="A59" s="5"/>
      <c r="B59" s="6"/>
      <c r="C59" s="14"/>
      <c r="D59" s="121" t="s">
        <v>118</v>
      </c>
    </row>
    <row r="60" spans="1:9" ht="38.25" x14ac:dyDescent="0.2">
      <c r="A60" s="5"/>
      <c r="B60" s="6"/>
      <c r="C60" s="14" t="s">
        <v>117</v>
      </c>
      <c r="D60" s="121" t="s">
        <v>119</v>
      </c>
    </row>
    <row r="61" spans="1:9" ht="25.5" x14ac:dyDescent="0.2">
      <c r="A61" s="5"/>
      <c r="B61" s="6"/>
      <c r="C61" s="14" t="s">
        <v>120</v>
      </c>
      <c r="D61" s="121" t="s">
        <v>121</v>
      </c>
      <c r="E61" s="37"/>
      <c r="F61" s="37"/>
      <c r="G61" s="37"/>
      <c r="H61" s="37"/>
      <c r="I61" s="37"/>
    </row>
    <row r="62" spans="1:9" ht="12.75" customHeight="1" x14ac:dyDescent="0.2">
      <c r="A62" s="5" t="s">
        <v>27</v>
      </c>
      <c r="B62" s="6">
        <v>2</v>
      </c>
      <c r="C62" s="14" t="s">
        <v>122</v>
      </c>
      <c r="D62" s="121" t="s">
        <v>107</v>
      </c>
      <c r="E62" s="37"/>
      <c r="F62" s="54"/>
      <c r="G62" s="55"/>
      <c r="H62" s="56"/>
      <c r="I62" s="37"/>
    </row>
    <row r="63" spans="1:9" ht="27" x14ac:dyDescent="0.2">
      <c r="A63" s="6" t="s">
        <v>54</v>
      </c>
      <c r="B63" s="6">
        <v>3</v>
      </c>
      <c r="C63" s="14" t="s">
        <v>124</v>
      </c>
      <c r="D63" s="121" t="s">
        <v>123</v>
      </c>
      <c r="E63" s="37"/>
      <c r="F63" s="57"/>
      <c r="G63" s="53"/>
      <c r="H63" s="53"/>
      <c r="I63" s="37"/>
    </row>
    <row r="64" spans="1:9" ht="13.5" x14ac:dyDescent="0.2">
      <c r="A64" s="5" t="s">
        <v>38</v>
      </c>
      <c r="B64" s="6">
        <v>1</v>
      </c>
      <c r="C64" s="80" t="s">
        <v>70</v>
      </c>
      <c r="D64" s="14"/>
      <c r="E64" s="37"/>
      <c r="F64" s="59"/>
      <c r="G64" s="60"/>
      <c r="H64" s="60"/>
      <c r="I64" s="37"/>
    </row>
    <row r="65" spans="1:9" ht="13.5" x14ac:dyDescent="0.2">
      <c r="A65" s="112"/>
      <c r="B65" s="112"/>
      <c r="C65" s="113" t="s">
        <v>49</v>
      </c>
      <c r="D65" s="111"/>
      <c r="E65" s="37"/>
      <c r="F65" s="59"/>
      <c r="G65" s="60"/>
      <c r="H65" s="60"/>
      <c r="I65" s="37"/>
    </row>
    <row r="66" spans="1:9" ht="25.5" x14ac:dyDescent="0.2">
      <c r="A66" s="5" t="s">
        <v>29</v>
      </c>
      <c r="B66" s="6">
        <v>1</v>
      </c>
      <c r="C66" s="80" t="s">
        <v>125</v>
      </c>
      <c r="D66" s="121" t="s">
        <v>123</v>
      </c>
      <c r="E66" s="37"/>
      <c r="F66" s="59"/>
      <c r="G66" s="60"/>
      <c r="H66" s="60"/>
      <c r="I66" s="37"/>
    </row>
    <row r="67" spans="1:9" ht="27" x14ac:dyDescent="0.2">
      <c r="A67" s="5" t="s">
        <v>28</v>
      </c>
      <c r="B67" s="6">
        <v>4</v>
      </c>
      <c r="C67" s="80" t="s">
        <v>126</v>
      </c>
      <c r="D67" s="14"/>
      <c r="E67" s="37"/>
      <c r="F67" s="59"/>
      <c r="G67" s="60"/>
      <c r="H67" s="60"/>
      <c r="I67" s="37"/>
    </row>
    <row r="68" spans="1:9" ht="25.5" x14ac:dyDescent="0.2">
      <c r="A68" s="5" t="s">
        <v>29</v>
      </c>
      <c r="B68" s="6">
        <v>1</v>
      </c>
      <c r="C68" s="80" t="s">
        <v>127</v>
      </c>
      <c r="D68" s="121" t="s">
        <v>128</v>
      </c>
      <c r="E68" s="37"/>
      <c r="F68" s="59"/>
      <c r="G68" s="60"/>
      <c r="H68" s="60"/>
      <c r="I68" s="37"/>
    </row>
    <row r="69" spans="1:9" ht="13.5" x14ac:dyDescent="0.2">
      <c r="A69" s="5" t="s">
        <v>36</v>
      </c>
      <c r="B69" s="6">
        <v>8</v>
      </c>
      <c r="C69" s="80" t="s">
        <v>129</v>
      </c>
      <c r="D69" s="14"/>
      <c r="E69" s="37"/>
      <c r="F69" s="59"/>
      <c r="G69" s="60"/>
      <c r="H69" s="60"/>
      <c r="I69" s="37"/>
    </row>
    <row r="70" spans="1:9" ht="14.25" thickBot="1" x14ac:dyDescent="0.25">
      <c r="A70" s="5" t="s">
        <v>38</v>
      </c>
      <c r="B70" s="6">
        <v>1</v>
      </c>
      <c r="C70" s="80" t="s">
        <v>70</v>
      </c>
      <c r="D70" s="14"/>
      <c r="E70" s="37"/>
      <c r="F70" s="59"/>
      <c r="G70" s="60"/>
      <c r="H70" s="60"/>
      <c r="I70" s="37"/>
    </row>
    <row r="71" spans="1:9" ht="13.5" x14ac:dyDescent="0.2">
      <c r="A71" s="5"/>
      <c r="B71" s="6"/>
      <c r="C71" s="110" t="s">
        <v>85</v>
      </c>
      <c r="D71" s="14"/>
      <c r="E71" s="37"/>
      <c r="F71" s="59"/>
      <c r="G71" s="60"/>
      <c r="H71" s="60"/>
      <c r="I71" s="37"/>
    </row>
    <row r="72" spans="1:9" ht="40.5" x14ac:dyDescent="0.2">
      <c r="A72" s="5" t="s">
        <v>33</v>
      </c>
      <c r="B72" s="6">
        <v>11</v>
      </c>
      <c r="C72" s="80" t="s">
        <v>130</v>
      </c>
      <c r="D72" s="14"/>
      <c r="E72" s="37"/>
      <c r="F72" s="59"/>
      <c r="G72" s="60"/>
      <c r="H72" s="60"/>
      <c r="I72" s="37"/>
    </row>
    <row r="73" spans="1:9" ht="13.5" x14ac:dyDescent="0.2">
      <c r="A73" s="5" t="s">
        <v>38</v>
      </c>
      <c r="B73" s="6">
        <v>1</v>
      </c>
      <c r="C73" s="80" t="s">
        <v>70</v>
      </c>
      <c r="D73" s="14"/>
      <c r="E73" s="37"/>
      <c r="F73" s="59"/>
      <c r="G73" s="60"/>
      <c r="H73" s="60"/>
      <c r="I73" s="37"/>
    </row>
    <row r="74" spans="1:9" ht="13.5" x14ac:dyDescent="0.2">
      <c r="A74" s="112"/>
      <c r="B74" s="112"/>
      <c r="C74" s="113" t="s">
        <v>50</v>
      </c>
      <c r="D74" s="111"/>
      <c r="E74" s="37"/>
      <c r="F74" s="59"/>
      <c r="G74" s="60"/>
      <c r="H74" s="60"/>
      <c r="I74" s="37"/>
    </row>
    <row r="75" spans="1:9" ht="27" x14ac:dyDescent="0.2">
      <c r="A75" s="5" t="s">
        <v>29</v>
      </c>
      <c r="B75" s="6">
        <v>1</v>
      </c>
      <c r="C75" s="80" t="s">
        <v>131</v>
      </c>
      <c r="D75" s="121" t="s">
        <v>132</v>
      </c>
      <c r="E75" s="37"/>
      <c r="F75" s="59"/>
      <c r="G75" s="60"/>
      <c r="H75" s="60"/>
      <c r="I75" s="37"/>
    </row>
    <row r="76" spans="1:9" ht="27" x14ac:dyDescent="0.2">
      <c r="A76" s="5" t="s">
        <v>29</v>
      </c>
      <c r="B76" s="6">
        <v>2</v>
      </c>
      <c r="C76" s="80" t="s">
        <v>133</v>
      </c>
      <c r="D76" s="121" t="s">
        <v>134</v>
      </c>
      <c r="E76" s="37"/>
      <c r="F76" s="59"/>
      <c r="G76" s="60"/>
      <c r="H76" s="60"/>
      <c r="I76" s="37"/>
    </row>
    <row r="77" spans="1:9" ht="27" x14ac:dyDescent="0.2">
      <c r="A77" s="5" t="s">
        <v>33</v>
      </c>
      <c r="B77" s="6">
        <v>3</v>
      </c>
      <c r="C77" s="80" t="s">
        <v>135</v>
      </c>
      <c r="D77" s="14"/>
      <c r="E77" s="37"/>
      <c r="F77" s="59"/>
      <c r="G77" s="60"/>
      <c r="H77" s="60"/>
      <c r="I77" s="37"/>
    </row>
    <row r="78" spans="1:9" ht="40.5" x14ac:dyDescent="0.2">
      <c r="A78" s="5" t="s">
        <v>33</v>
      </c>
      <c r="B78" s="6">
        <v>4</v>
      </c>
      <c r="C78" s="80" t="s">
        <v>136</v>
      </c>
      <c r="D78" s="14"/>
      <c r="E78" s="37"/>
      <c r="F78" s="59"/>
      <c r="G78" s="60"/>
      <c r="H78" s="60"/>
      <c r="I78" s="37"/>
    </row>
    <row r="79" spans="1:9" ht="54" x14ac:dyDescent="0.2">
      <c r="A79" s="5" t="s">
        <v>33</v>
      </c>
      <c r="B79" s="6">
        <v>4</v>
      </c>
      <c r="C79" s="80" t="s">
        <v>137</v>
      </c>
      <c r="D79" s="14"/>
      <c r="E79" s="37"/>
      <c r="F79" s="59"/>
      <c r="G79" s="60"/>
      <c r="H79" s="60"/>
      <c r="I79" s="37"/>
    </row>
    <row r="80" spans="1:9" ht="14.25" thickBot="1" x14ac:dyDescent="0.25">
      <c r="A80" s="5" t="s">
        <v>38</v>
      </c>
      <c r="B80" s="6">
        <v>1</v>
      </c>
      <c r="C80" s="80" t="s">
        <v>70</v>
      </c>
      <c r="D80" s="14"/>
      <c r="E80" s="37"/>
      <c r="F80" s="59"/>
      <c r="G80" s="60"/>
      <c r="H80" s="60"/>
      <c r="I80" s="37"/>
    </row>
    <row r="81" spans="1:9" ht="13.5" x14ac:dyDescent="0.2">
      <c r="A81" s="5"/>
      <c r="B81" s="6"/>
      <c r="C81" s="110" t="s">
        <v>85</v>
      </c>
      <c r="D81" s="14"/>
      <c r="E81" s="37"/>
      <c r="F81" s="59"/>
      <c r="G81" s="60"/>
      <c r="H81" s="60"/>
      <c r="I81" s="37"/>
    </row>
    <row r="82" spans="1:9" ht="27" x14ac:dyDescent="0.2">
      <c r="A82" s="5" t="s">
        <v>33</v>
      </c>
      <c r="B82" s="6">
        <v>6</v>
      </c>
      <c r="C82" s="80" t="s">
        <v>138</v>
      </c>
      <c r="D82" s="14"/>
      <c r="E82" s="37"/>
      <c r="F82" s="59"/>
      <c r="G82" s="60"/>
      <c r="H82" s="60"/>
      <c r="I82" s="37"/>
    </row>
    <row r="83" spans="1:9" ht="27" x14ac:dyDescent="0.2">
      <c r="A83" s="5" t="s">
        <v>33</v>
      </c>
      <c r="B83" s="6">
        <v>3</v>
      </c>
      <c r="C83" s="80" t="s">
        <v>139</v>
      </c>
      <c r="D83" s="14"/>
      <c r="E83" s="37"/>
      <c r="F83" s="59"/>
      <c r="G83" s="60"/>
      <c r="H83" s="60"/>
      <c r="I83" s="37"/>
    </row>
    <row r="84" spans="1:9" ht="25.5" x14ac:dyDescent="0.2">
      <c r="A84" s="5" t="s">
        <v>29</v>
      </c>
      <c r="B84" s="6">
        <v>2</v>
      </c>
      <c r="C84" s="80" t="s">
        <v>140</v>
      </c>
      <c r="D84" s="121" t="s">
        <v>141</v>
      </c>
      <c r="E84" s="37"/>
      <c r="F84" s="59"/>
      <c r="G84" s="60"/>
      <c r="H84" s="60"/>
      <c r="I84" s="37"/>
    </row>
    <row r="85" spans="1:9" ht="14.25" thickBot="1" x14ac:dyDescent="0.25">
      <c r="A85" s="5" t="s">
        <v>38</v>
      </c>
      <c r="B85" s="6">
        <v>1</v>
      </c>
      <c r="C85" s="80" t="s">
        <v>70</v>
      </c>
      <c r="D85" s="14"/>
      <c r="E85" s="37"/>
      <c r="F85" s="59"/>
      <c r="G85" s="60"/>
      <c r="H85" s="60"/>
      <c r="I85" s="37"/>
    </row>
    <row r="86" spans="1:9" ht="14.25" thickBot="1" x14ac:dyDescent="0.25">
      <c r="A86" s="76" t="s">
        <v>22</v>
      </c>
      <c r="B86" s="76">
        <f>SUM(B53:B85)</f>
        <v>90</v>
      </c>
      <c r="C86" s="83" t="s">
        <v>39</v>
      </c>
      <c r="D86" s="77"/>
      <c r="E86" s="37"/>
    </row>
    <row r="87" spans="1:9" ht="15" thickBot="1" x14ac:dyDescent="0.35">
      <c r="A87" s="78"/>
      <c r="B87" s="78"/>
      <c r="C87" s="78"/>
      <c r="D87" s="78"/>
      <c r="E87" s="37"/>
    </row>
    <row r="88" spans="1:9" ht="18.75" thickBot="1" x14ac:dyDescent="0.25">
      <c r="A88" s="71" t="s">
        <v>14</v>
      </c>
      <c r="B88" s="72">
        <v>3</v>
      </c>
      <c r="C88" s="73" t="s">
        <v>23</v>
      </c>
      <c r="D88" s="82">
        <v>42898</v>
      </c>
      <c r="E88" s="37"/>
    </row>
    <row r="89" spans="1:9" ht="27.75" thickBot="1" x14ac:dyDescent="0.25">
      <c r="A89" s="74" t="s">
        <v>3</v>
      </c>
      <c r="B89" s="75" t="s">
        <v>15</v>
      </c>
      <c r="C89" s="74" t="s">
        <v>7</v>
      </c>
      <c r="D89" s="74" t="s">
        <v>13</v>
      </c>
      <c r="E89" s="37"/>
    </row>
    <row r="90" spans="1:9" ht="13.5" x14ac:dyDescent="0.2">
      <c r="A90" s="108"/>
      <c r="B90" s="109"/>
      <c r="C90" s="110" t="s">
        <v>52</v>
      </c>
      <c r="D90" s="111"/>
      <c r="E90" s="37"/>
    </row>
    <row r="91" spans="1:9" ht="121.5" x14ac:dyDescent="0.2">
      <c r="A91" s="5" t="s">
        <v>33</v>
      </c>
      <c r="B91" s="6">
        <v>11</v>
      </c>
      <c r="C91" s="14" t="s">
        <v>142</v>
      </c>
      <c r="D91" s="14"/>
      <c r="E91" s="37"/>
    </row>
    <row r="92" spans="1:9" ht="14.25" thickBot="1" x14ac:dyDescent="0.25">
      <c r="A92" s="5" t="s">
        <v>38</v>
      </c>
      <c r="B92" s="6">
        <v>1</v>
      </c>
      <c r="C92" s="80" t="s">
        <v>70</v>
      </c>
      <c r="D92" s="14"/>
      <c r="E92" s="37"/>
    </row>
    <row r="93" spans="1:9" ht="13.5" x14ac:dyDescent="0.2">
      <c r="A93" s="5"/>
      <c r="B93" s="6"/>
      <c r="C93" s="110" t="s">
        <v>85</v>
      </c>
      <c r="D93" s="14"/>
      <c r="E93" s="37"/>
      <c r="F93" s="59"/>
      <c r="G93" s="60"/>
      <c r="H93" s="60"/>
      <c r="I93" s="37"/>
    </row>
    <row r="94" spans="1:9" ht="27" x14ac:dyDescent="0.2">
      <c r="A94" s="5" t="s">
        <v>33</v>
      </c>
      <c r="B94" s="6">
        <v>6</v>
      </c>
      <c r="C94" s="14" t="s">
        <v>143</v>
      </c>
      <c r="D94" s="14"/>
      <c r="E94" s="37"/>
      <c r="F94" s="59"/>
      <c r="G94" s="60"/>
      <c r="H94" s="60"/>
      <c r="I94" s="37"/>
    </row>
    <row r="95" spans="1:9" ht="13.5" x14ac:dyDescent="0.2">
      <c r="A95" s="5" t="s">
        <v>21</v>
      </c>
      <c r="B95" s="6">
        <v>3</v>
      </c>
      <c r="C95" s="14" t="s">
        <v>56</v>
      </c>
      <c r="D95" s="14"/>
      <c r="E95" s="37"/>
      <c r="F95" s="59"/>
      <c r="G95" s="60"/>
      <c r="H95" s="60"/>
      <c r="I95" s="37"/>
    </row>
    <row r="96" spans="1:9" ht="27" x14ac:dyDescent="0.2">
      <c r="A96" s="5" t="s">
        <v>33</v>
      </c>
      <c r="B96" s="6">
        <v>2</v>
      </c>
      <c r="C96" s="14" t="s">
        <v>144</v>
      </c>
      <c r="D96" s="14"/>
      <c r="E96" s="37"/>
      <c r="F96" s="61"/>
      <c r="G96" s="62"/>
      <c r="H96" s="62"/>
      <c r="I96" s="37"/>
    </row>
    <row r="97" spans="1:9" ht="14.25" x14ac:dyDescent="0.3">
      <c r="A97" s="5" t="s">
        <v>38</v>
      </c>
      <c r="B97" s="6">
        <v>1</v>
      </c>
      <c r="C97" s="80" t="s">
        <v>70</v>
      </c>
      <c r="D97" s="14"/>
      <c r="E97" s="37"/>
      <c r="F97" s="63"/>
      <c r="G97" s="63"/>
      <c r="H97" s="63"/>
      <c r="I97" s="37"/>
    </row>
    <row r="98" spans="1:9" ht="13.5" x14ac:dyDescent="0.2">
      <c r="A98" s="5"/>
      <c r="B98" s="6"/>
      <c r="C98" s="14"/>
      <c r="D98" s="14"/>
      <c r="E98" s="37"/>
      <c r="F98" s="37"/>
      <c r="G98" s="37"/>
      <c r="H98" s="37"/>
      <c r="I98" s="37"/>
    </row>
    <row r="99" spans="1:9" ht="13.5" x14ac:dyDescent="0.2">
      <c r="A99" s="6"/>
      <c r="B99" s="6"/>
      <c r="C99" s="14"/>
      <c r="D99" s="14"/>
      <c r="E99" s="37"/>
      <c r="F99" s="37"/>
      <c r="G99" s="37"/>
      <c r="H99" s="37"/>
      <c r="I99" s="37"/>
    </row>
    <row r="100" spans="1:9" ht="13.5" x14ac:dyDescent="0.2">
      <c r="A100" s="6"/>
      <c r="B100" s="6"/>
      <c r="C100" s="14"/>
      <c r="D100" s="14"/>
      <c r="E100" s="37"/>
      <c r="F100" s="37"/>
      <c r="G100" s="37"/>
      <c r="H100" s="37"/>
      <c r="I100" s="37"/>
    </row>
    <row r="101" spans="1:9" ht="13.5" x14ac:dyDescent="0.2">
      <c r="A101" s="6"/>
      <c r="B101" s="6"/>
      <c r="C101" s="14"/>
      <c r="D101" s="14"/>
    </row>
    <row r="102" spans="1:9" ht="13.5" x14ac:dyDescent="0.2">
      <c r="A102" s="79"/>
      <c r="B102" s="79"/>
      <c r="C102" s="80"/>
      <c r="D102" s="80"/>
    </row>
    <row r="103" spans="1:9" ht="13.5" x14ac:dyDescent="0.2">
      <c r="A103" s="79"/>
      <c r="B103" s="79"/>
      <c r="C103" s="80"/>
      <c r="D103" s="80"/>
    </row>
    <row r="104" spans="1:9" ht="14.25" thickBot="1" x14ac:dyDescent="0.25">
      <c r="A104" s="7"/>
      <c r="B104" s="7"/>
      <c r="C104" s="15"/>
      <c r="D104" s="15"/>
    </row>
    <row r="105" spans="1:9" ht="14.25" thickBot="1" x14ac:dyDescent="0.25">
      <c r="A105" s="76" t="s">
        <v>22</v>
      </c>
      <c r="B105" s="76">
        <f>SUM(B90:B104)</f>
        <v>24</v>
      </c>
      <c r="C105" s="83" t="s">
        <v>39</v>
      </c>
      <c r="D105" s="77"/>
    </row>
    <row r="106" spans="1:9" ht="15" thickBot="1" x14ac:dyDescent="0.35">
      <c r="A106" s="78"/>
      <c r="B106" s="78"/>
      <c r="C106" s="78"/>
      <c r="D106" s="78"/>
    </row>
    <row r="107" spans="1:9" ht="18.75" thickBot="1" x14ac:dyDescent="0.25">
      <c r="A107" s="71" t="s">
        <v>14</v>
      </c>
      <c r="B107" s="72">
        <v>4</v>
      </c>
      <c r="C107" s="73" t="s">
        <v>23</v>
      </c>
      <c r="D107" s="82">
        <v>42905</v>
      </c>
    </row>
    <row r="108" spans="1:9" ht="27.75" thickBot="1" x14ac:dyDescent="0.25">
      <c r="A108" s="74" t="s">
        <v>3</v>
      </c>
      <c r="B108" s="75" t="s">
        <v>15</v>
      </c>
      <c r="C108" s="74" t="s">
        <v>7</v>
      </c>
      <c r="D108" s="74" t="s">
        <v>13</v>
      </c>
    </row>
    <row r="109" spans="1:9" ht="13.5" x14ac:dyDescent="0.2">
      <c r="A109" s="9"/>
      <c r="B109" s="8"/>
      <c r="C109" s="13"/>
      <c r="D109" s="13"/>
    </row>
    <row r="110" spans="1:9" ht="13.5" x14ac:dyDescent="0.2">
      <c r="A110" s="5"/>
      <c r="B110" s="6"/>
      <c r="C110" s="14"/>
      <c r="D110" s="14"/>
    </row>
    <row r="111" spans="1:9" ht="13.5" x14ac:dyDescent="0.2">
      <c r="A111" s="5"/>
      <c r="B111" s="6"/>
      <c r="C111" s="14"/>
      <c r="D111" s="14"/>
    </row>
    <row r="112" spans="1:9" ht="13.5" x14ac:dyDescent="0.2">
      <c r="A112" s="5"/>
      <c r="B112" s="6"/>
      <c r="C112" s="14"/>
      <c r="D112" s="14"/>
    </row>
    <row r="113" spans="1:4" ht="13.5" x14ac:dyDescent="0.2">
      <c r="A113" s="5"/>
      <c r="B113" s="6"/>
      <c r="C113" s="14"/>
      <c r="D113" s="14"/>
    </row>
    <row r="114" spans="1:4" ht="13.5" x14ac:dyDescent="0.2">
      <c r="A114" s="5"/>
      <c r="B114" s="6"/>
      <c r="C114" s="14"/>
      <c r="D114" s="14"/>
    </row>
    <row r="115" spans="1:4" ht="13.5" x14ac:dyDescent="0.2">
      <c r="A115" s="5"/>
      <c r="B115" s="6"/>
      <c r="C115" s="14"/>
      <c r="D115" s="14"/>
    </row>
    <row r="116" spans="1:4" ht="13.5" x14ac:dyDescent="0.2">
      <c r="A116" s="5"/>
      <c r="B116" s="6"/>
      <c r="C116" s="14"/>
      <c r="D116" s="14"/>
    </row>
    <row r="117" spans="1:4" ht="13.5" x14ac:dyDescent="0.2">
      <c r="A117" s="5"/>
      <c r="B117" s="6"/>
      <c r="C117" s="14"/>
      <c r="D117" s="14"/>
    </row>
    <row r="118" spans="1:4" ht="13.5" x14ac:dyDescent="0.2">
      <c r="A118" s="6"/>
      <c r="B118" s="6"/>
      <c r="C118" s="14"/>
      <c r="D118" s="14"/>
    </row>
    <row r="119" spans="1:4" ht="13.5" x14ac:dyDescent="0.2">
      <c r="A119" s="6"/>
      <c r="B119" s="6"/>
      <c r="C119" s="14"/>
      <c r="D119" s="14"/>
    </row>
    <row r="120" spans="1:4" ht="13.5" x14ac:dyDescent="0.2">
      <c r="A120" s="6"/>
      <c r="B120" s="6"/>
      <c r="C120" s="14"/>
      <c r="D120" s="14"/>
    </row>
    <row r="121" spans="1:4" ht="13.5" x14ac:dyDescent="0.2">
      <c r="A121" s="79"/>
      <c r="B121" s="79"/>
      <c r="C121" s="80"/>
      <c r="D121" s="80"/>
    </row>
    <row r="122" spans="1:4" ht="13.5" x14ac:dyDescent="0.2">
      <c r="A122" s="79"/>
      <c r="B122" s="79"/>
      <c r="C122" s="80"/>
      <c r="D122" s="80"/>
    </row>
    <row r="123" spans="1:4" ht="14.25" thickBot="1" x14ac:dyDescent="0.25">
      <c r="A123" s="7"/>
      <c r="B123" s="7"/>
      <c r="C123" s="15"/>
      <c r="D123" s="15"/>
    </row>
    <row r="124" spans="1:4" ht="14.25" thickBot="1" x14ac:dyDescent="0.25">
      <c r="A124" s="76" t="s">
        <v>22</v>
      </c>
      <c r="B124" s="76">
        <f>SUM(B109:B123)</f>
        <v>0</v>
      </c>
      <c r="C124" s="83" t="s">
        <v>39</v>
      </c>
      <c r="D124" s="77"/>
    </row>
    <row r="125" spans="1:4" ht="14.25" x14ac:dyDescent="0.3">
      <c r="A125" s="78"/>
      <c r="B125" s="78"/>
      <c r="C125" s="78"/>
      <c r="D125" s="78"/>
    </row>
    <row r="126" spans="1:4" x14ac:dyDescent="0.2">
      <c r="A126"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96">
      <formula1>0</formula1>
      <formula2>DureePeriode-1</formula2>
    </dataValidation>
    <dataValidation type="whole" errorStyle="warning" operator="greaterThan" allowBlank="1" showInputMessage="1" showErrorMessage="1" errorTitle="Durée en 1/3 de période" error="Le nombre doit être de type entier" sqref="B109:B123 B3:B48 F93:F95 B53:B85 F64:F85 B90:B10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9 B86 B105 B124">
      <formula1>0</formula1>
      <formula2>NbPerWeek * NbQuartPer</formula2>
    </dataValidation>
    <dataValidation type="list" allowBlank="1" showInputMessage="1" showErrorMessage="1" sqref="A109:A123 A3:A48 A53:A85 A90:A104">
      <formula1>lstTasks</formula1>
    </dataValidation>
  </dataValidations>
  <hyperlinks>
    <hyperlink ref="D11" r:id="rId1"/>
    <hyperlink ref="D4" r:id="rId2"/>
    <hyperlink ref="D6" r:id="rId3"/>
    <hyperlink ref="D12" r:id="rId4"/>
    <hyperlink ref="D13" r:id="rId5"/>
    <hyperlink ref="D16" r:id="rId6"/>
    <hyperlink ref="D17" r:id="rId7"/>
    <hyperlink ref="D18" r:id="rId8"/>
    <hyperlink ref="D20" r:id="rId9"/>
    <hyperlink ref="D23" r:id="rId10"/>
    <hyperlink ref="D25" r:id="rId11"/>
    <hyperlink ref="D34" r:id="rId12"/>
    <hyperlink ref="D35" r:id="rId13"/>
    <hyperlink ref="D33" r:id="rId14"/>
    <hyperlink ref="D39" r:id="rId15"/>
    <hyperlink ref="D42" r:id="rId16"/>
    <hyperlink ref="D46" r:id="rId17"/>
    <hyperlink ref="D57" r:id="rId18"/>
    <hyperlink ref="D58" r:id="rId19"/>
    <hyperlink ref="D59" r:id="rId20"/>
    <hyperlink ref="D60" r:id="rId21"/>
    <hyperlink ref="D61" r:id="rId22"/>
    <hyperlink ref="D62" r:id="rId23"/>
    <hyperlink ref="D63" r:id="rId24"/>
    <hyperlink ref="D66" r:id="rId25"/>
    <hyperlink ref="D68" r:id="rId26"/>
    <hyperlink ref="D75" r:id="rId27"/>
    <hyperlink ref="D76" r:id="rId28"/>
    <hyperlink ref="D84" r:id="rId29"/>
  </hyperlinks>
  <printOptions horizontalCentered="1" verticalCentered="1"/>
  <pageMargins left="0.25" right="0.25" top="0.75" bottom="0.75" header="0.3" footer="0.3"/>
  <pageSetup paperSize="9" scale="61" fitToHeight="0" orientation="portrait" cellComments="atEnd" r:id="rId30"/>
  <headerFooter>
    <oddHeader>&amp;L&amp;"ETML L,Normal"&amp;24ETML</oddHeader>
    <oddFooter>&amp;C&amp;F&amp;L&amp;D</oddFooter>
  </headerFooter>
  <drawing r:id="rId31"/>
  <legacyDrawing r:id="rId32"/>
  <controls>
    <mc:AlternateContent xmlns:mc="http://schemas.openxmlformats.org/markup-compatibility/2006">
      <mc:Choice Requires="x14">
        <control shapeId="46081" r:id="rId33" name="btnImportRealisation">
          <controlPr defaultSize="0" autoLine="0" r:id="rId34">
            <anchor moveWithCells="1">
              <from>
                <xdr:col>4</xdr:col>
                <xdr:colOff>590550</xdr:colOff>
                <xdr:row>0</xdr:row>
                <xdr:rowOff>180975</xdr:rowOff>
              </from>
              <to>
                <xdr:col>7</xdr:col>
                <xdr:colOff>257175</xdr:colOff>
                <xdr:row>2</xdr:row>
                <xdr:rowOff>152400</xdr:rowOff>
              </to>
            </anchor>
          </controlPr>
        </control>
      </mc:Choice>
      <mc:Fallback>
        <control shapeId="46081" r:id="rId33"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topLeftCell="A22" zoomScaleNormal="100" zoomScaleSheetLayoutView="100" workbookViewId="0">
      <selection activeCell="A10" sqref="A10:D1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2017-06-12T14:32:57Z</dcterms:modified>
  <cp:contentStatus>Version 8.0</cp:contentStatus>
</cp:coreProperties>
</file>