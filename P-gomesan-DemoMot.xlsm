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JNLTRAV!$A$1:$D$132</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31" i="159"/>
  <c r="B112" i="159"/>
  <c r="B86" i="159"/>
  <c r="B49" i="159"/>
  <c r="B18" i="154" l="1"/>
  <c r="B13" i="11"/>
</calcChain>
</file>

<file path=xl/sharedStrings.xml><?xml version="1.0" encoding="utf-8"?>
<sst xmlns="http://schemas.openxmlformats.org/spreadsheetml/2006/main" count="398" uniqueCount="149">
  <si>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</si>
  <si>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</si>
  <si>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</si>
  <si>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</si>
  <si>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</si>
  <si>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</si>
  <si>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</si>
  <si>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</si>
  <si>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</si>
  <si>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</si>
  <si>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</si>
  <si>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</si>
  <si>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</si>
  <si>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</si>
  <si>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</si>
  <si>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</si>
  <si>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</si>
  <si>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</si>
  <si>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</si>
  <si>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</si>
  <si>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</si>
  <si>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</si>
  <si>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</si>
  <si>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</si>
  <si>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</si>
  <si>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</si>
  <si>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</si>
  <si>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</si>
  <si>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</si>
  <si>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</si>
  <si>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</si>
  <si>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</si>
  <si>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</si>
  <si>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</si>
  <si>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</si>
  <si>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</si>
  <si>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</si>
  <si>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</si>
  <si>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</si>
  <si>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</si>
  <si>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</si>
  <si>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</si>
  <si>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</si>
  <si>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</si>
  <si>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</si>
  <si>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</si>
  <si>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</si>
  <si>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</si>
  <si>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</si>
  <si>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</si>
  <si>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</si>
  <si>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</si>
  <si>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</si>
  <si>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</si>
  <si>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</si>
  <si>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</si>
  <si>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</si>
  <si>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</si>
  <si>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</si>
  <si>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</si>
  <si>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</si>
  <si>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</si>
  <si>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</si>
  <si>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</si>
  <si>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</si>
  <si>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</si>
  <si>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</si>
  <si>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</si>
  <si>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</si>
  <si>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</si>
  <si>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</si>
  <si>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</si>
  <si>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</si>
  <si>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</si>
  <si>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</si>
  <si>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</si>
  <si>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</si>
  <si>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</si>
  <si>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</si>
  <si>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</si>
  <si>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</si>
  <si>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</si>
  <si>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</si>
  <si>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</si>
  <si>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</si>
  <si>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</si>
  <si>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</si>
  <si>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</si>
  <si>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</si>
  <si>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</si>
  <si>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</si>
  <si>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</si>
  <si>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</si>
  <si>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</si>
  <si>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</si>
  <si>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</si>
  <si>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</si>
  <si>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</si>
  <si>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</si>
  <si>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</si>
  <si>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</si>
  <si>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</si>
  <si>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</si>
  <si>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</si>
  <si>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</si>
  <si>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</si>
  <si>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</si>
  <si>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</si>
  <si>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</si>
  <si>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</si>
  <si>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</si>
  <si>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</si>
  <si>
    <t>Recherche de comment faire pour avoir une interface qui change en appuyant sur des boutons différents: 4 méthodes trouvé interessante. J'ai voulu aller voir Mr.KBA pour voir qu'elle serait la meilleur solution mais je ne l'ai pas trouvé donc j'ai décider  de laisser ça de côté pour demain si je le croise pour décider qu'elle est la meilleur méthode à notre façon de faire</t>
  </si>
  <si>
    <t>http://www.survivingwithandroid.com/2013/04/android-fragment-transaction.html</t>
  </si>
  <si>
    <t>1) FragmentTransaction</t>
  </si>
  <si>
    <t>2) ViewFlipper</t>
  </si>
  <si>
    <t>http://abhiandroid.com/ui/viewflipper</t>
  </si>
  <si>
    <t>3) Boutton display on/off</t>
  </si>
  <si>
    <t>https://stackoverflow.com/questions/29846684/setting-contentview-after-button-click</t>
  </si>
  <si>
    <t>https://stackoverflow.com/questions/28191948/replace-the-content-of-linear-layout-at-onclick-button-android</t>
  </si>
  <si>
    <t>4) SetContentView</t>
  </si>
  <si>
    <t>https://stackoverflow.com/questions/6121797/android-how-to-change-layout-on-button-click</t>
  </si>
  <si>
    <t>Création du rapport de projet</t>
  </si>
  <si>
    <t>https://danielme.com/tip-android-29-layouts-dinamicos-anadir-vistas-programaticamente/</t>
  </si>
  <si>
    <t>Aide de mon collègue pour la création de bouton dynamique, propostion d'une solution basé sur une base de donnée</t>
  </si>
  <si>
    <t>Visionage d'un site pour l'afficahge dynamique</t>
  </si>
  <si>
    <t>Test sur un autre programme avec une base de donnée incluse pour pouvoir afficher les choses avec une base de donnée</t>
  </si>
  <si>
    <t>Recherceh de comment faire pour modiffier le text dans un autre layout</t>
  </si>
  <si>
    <t>https://stackoverflow.com/questions/8226390/settext-not-working-on-inflated-layout</t>
  </si>
  <si>
    <t>Création de la base de donnée avec les deux tables et des méthode nécessaire</t>
  </si>
  <si>
    <t>Insertion de l'affiocahge dynamique avec la nouvelle base de donnée problèeme au niveau de la méthode qui créer la liste entière des notes qui fonctionne pas et qui fait planter l'applications</t>
  </si>
  <si>
    <t>Recherche de comment faire pour créer des dialogs pour pouvoir récuperer des informations que l'utilisateur entre</t>
  </si>
  <si>
    <t>https://developer.android.com/guide/topics/ui/dialogs.html</t>
  </si>
  <si>
    <t>Visionange d'une vidéo sur comment créer un dialogs en mode formulaire pour avoir des informatiosn de l'utilisateur</t>
  </si>
  <si>
    <t>https://www.youtube.com/watch?v=plnLs6aST1M</t>
  </si>
  <si>
    <t>Création d'un code adapter à notre programme depuis la vidéo sur les dialogs</t>
  </si>
  <si>
    <t>Réparation d'un bug provenant de la base de donnée qui faisait crash: J'ai essayé de modiffier les types de paramètre sans succès et j'ai fais quelque modiffication jusqu'à m'apercevoir une erreur dans la création de la table il manquait une colonne</t>
  </si>
  <si>
    <t>Continuation du code adapter en modiffiant la requête pour juste selectionner les notes par branche et par année, affichage aussi des notes depuis le dialogs(tentative de faire avec un rafraichissement mais cela faisaiit crash l'application donc on a juste utiliser la méthode qu'on avait pour afficher les notes)</t>
  </si>
  <si>
    <t>Implementation des méthodes pour afficher les bouttons, créer un dilaogs pour pouvoir communiquer avec l'utilisateur et afficher une nouvelle branches dynamiquement</t>
  </si>
  <si>
    <t>Recherche du probleme dans la base de donnée après plusieurs test j'ai remarquer dans les logs que la table se créer pas</t>
  </si>
  <si>
    <t>Recherche de comment faire pour pouvoir créer plusieur table</t>
  </si>
  <si>
    <t>http://instinctcoder.com/android-studio-sqlite-database-multiple-tables-example/</t>
  </si>
  <si>
    <t>Réparation des bugs dans le code qui faisait crasher l'application: 1. Bouton qui ne s'affichait pas lors de l'insértion -&gt; Il fallait rajouter une GridLayout pour stocker les boutons, l'afficahge se mettait au mauvais endroit aussi et le nombre de bouton n'est pas limité et y avait aussi un probleme de nom de fichier dans le bout de code 2. Insértion qui ne se faisait pas -&gt; Au début la base de donnée crasher directement à cause du cache de donnée donc la seconde table n'était donc pas créer il fallait donc supprimer completement l'application et la reinstaller, le second gros soucis qui y a eu c'est que la table avait une mauvaise information qui faisait en sorte que le code pour l'insertion de donnée ne jouait pas avec les noms des colonnes de la table</t>
  </si>
  <si>
    <t>Recherche dans le code pourquoi les données des boutons ne s'enregistre pas</t>
  </si>
  <si>
    <t>Ajout de la fonctionnalité pour accéder au autres activité avec l'affichage des notes correctement</t>
  </si>
  <si>
    <t>Reparation de la base de donnée. Le problème venait du fait que lors de l'insertion de donnée dans la base de donnée il recherchait trois variable mais dans le constructeur de la classe il en passait que 2 c'est pour ça qu'on arrivait pas à avoir plusieurs données</t>
  </si>
  <si>
    <t>Changement du fonctionnement de l'affichage des bouttons. Maintenant on affiche plus un layout mais on crée à chaque fois un nouveau boutton qui est créer parce que à cause de l'id unique du boutton on pouvait pas utiliser la méthode qui nous permetait d'aller dans l'activité pour afficher les notes</t>
  </si>
  <si>
    <t>Modification des Select pour selectionner les bons bouttons par année et les bonne notes par branche</t>
  </si>
  <si>
    <t>Reflexion de comment faire pour différencier les branches entre elle. Plusieurs tentatives non fructueuse la dernière tentative testé ces de récupérer le nom du boutton mais au final il récupère que le nom du dernier même si on clique sur le premier créer, j'ai réfléchis à une méthode basé sur une variable local qui reste a tester donc.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</si>
</sst>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0" fillId="17"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hyperlink" Target="http://www.survivingwithandroid.com/2013/04/android-fragment-transaction.html" TargetMode="External"/><Relationship Id="rId26" Type="http://schemas.openxmlformats.org/officeDocument/2006/relationships/hyperlink" Target="https://stackoverflow.com/questions/8226390/settext-not-working-on-inflated-layout" TargetMode="External"/><Relationship Id="rId3" Type="http://schemas.openxmlformats.org/officeDocument/2006/relationships/hyperlink" Target="../AGS-GPT-DemoMot" TargetMode="External"/><Relationship Id="rId21" Type="http://schemas.openxmlformats.org/officeDocument/2006/relationships/hyperlink" Target="https://stackoverflow.com/questions/28191948/replace-the-content-of-linear-layout-at-onclick-button-android" TargetMode="External"/><Relationship Id="rId34" Type="http://schemas.openxmlformats.org/officeDocument/2006/relationships/image" Target="../media/image6.emf"/><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5" Type="http://schemas.openxmlformats.org/officeDocument/2006/relationships/hyperlink" Target="https://danielme.com/tip-android-29-layouts-dinamicos-anadir-vistas-programaticamente/" TargetMode="External"/><Relationship Id="rId33" Type="http://schemas.openxmlformats.org/officeDocument/2006/relationships/control" Target="../activeX/activeX6.xml"/><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hyperlink" Target="https://stackoverflow.com/questions/29846684/setting-contentview-after-button-click" TargetMode="External"/><Relationship Id="rId29" Type="http://schemas.openxmlformats.org/officeDocument/2006/relationships/hyperlink" Target="http://instinctcoder.com/android-studio-sqlite-database-multiple-tables-example/" TargetMode="Externa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24" Type="http://schemas.openxmlformats.org/officeDocument/2006/relationships/hyperlink" Target="https://danielme.com/tip-android-29-layouts-dinamicos-anadir-vistas-programaticamente/" TargetMode="External"/><Relationship Id="rId32" Type="http://schemas.openxmlformats.org/officeDocument/2006/relationships/vmlDrawing" Target="../drawings/vmlDrawing4.vm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23" Type="http://schemas.openxmlformats.org/officeDocument/2006/relationships/hyperlink" Target="P_GestionNote-AGS-GPT" TargetMode="External"/><Relationship Id="rId28" Type="http://schemas.openxmlformats.org/officeDocument/2006/relationships/hyperlink" Target="https://www.youtube.com/watch?v=plnLs6aST1M" TargetMode="External"/><Relationship Id="rId10" Type="http://schemas.openxmlformats.org/officeDocument/2006/relationships/hyperlink" Target="https://www.youtube.com/watch?v=7dneldqxDKk" TargetMode="External"/><Relationship Id="rId19" Type="http://schemas.openxmlformats.org/officeDocument/2006/relationships/hyperlink" Target="http://abhiandroid.com/ui/viewflipper" TargetMode="External"/><Relationship Id="rId31" Type="http://schemas.openxmlformats.org/officeDocument/2006/relationships/drawing" Target="../drawings/drawing4.xml"/><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hyperlink" Target="https://stackoverflow.com/questions/6121797/android-how-to-change-layout-on-button-click" TargetMode="External"/><Relationship Id="rId27" Type="http://schemas.openxmlformats.org/officeDocument/2006/relationships/hyperlink" Target="https://developer.android.com/guide/topics/ui/dialogs.html" TargetMode="External"/><Relationship Id="rId30"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6" t="s">
        <v>41</v>
      </c>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8"/>
      <c r="CP2" s="136" t="s">
        <v>42</v>
      </c>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8"/>
      <c r="GB2" s="136" t="s">
        <v>43</v>
      </c>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8"/>
      <c r="JN2" s="136" t="s">
        <v>44</v>
      </c>
      <c r="JO2" s="137"/>
      <c r="JP2" s="137"/>
      <c r="JQ2" s="137"/>
      <c r="JR2" s="137"/>
      <c r="JS2" s="137"/>
      <c r="JT2" s="137"/>
      <c r="JU2" s="137"/>
      <c r="JV2" s="137"/>
      <c r="JW2" s="137"/>
      <c r="JX2" s="137"/>
      <c r="JY2" s="137"/>
      <c r="JZ2" s="137"/>
      <c r="KA2" s="137"/>
      <c r="KB2" s="137"/>
      <c r="KC2" s="137"/>
      <c r="KD2" s="137"/>
      <c r="KE2" s="137"/>
      <c r="KF2" s="137"/>
      <c r="KG2" s="137"/>
      <c r="KH2" s="137"/>
      <c r="KI2" s="137"/>
      <c r="KJ2" s="137"/>
      <c r="KK2" s="137"/>
      <c r="KL2" s="137"/>
      <c r="KM2" s="137"/>
      <c r="KN2" s="137"/>
      <c r="KO2" s="137"/>
      <c r="KP2" s="137"/>
      <c r="KQ2" s="137"/>
      <c r="KR2" s="137"/>
      <c r="KS2" s="137"/>
      <c r="KT2" s="137"/>
      <c r="KU2" s="137"/>
      <c r="KV2" s="137"/>
      <c r="KW2" s="137"/>
      <c r="KX2" s="137"/>
      <c r="KY2" s="137"/>
      <c r="KZ2" s="137"/>
      <c r="LA2" s="137"/>
      <c r="LB2" s="137"/>
      <c r="LC2" s="137"/>
      <c r="LD2" s="137"/>
      <c r="LE2" s="137"/>
      <c r="LF2" s="137"/>
      <c r="LG2" s="137"/>
      <c r="LH2" s="137"/>
      <c r="LI2" s="137"/>
      <c r="LJ2" s="137"/>
      <c r="LK2" s="137"/>
      <c r="LL2" s="137"/>
      <c r="LM2" s="137"/>
      <c r="LN2" s="137"/>
      <c r="LO2" s="137"/>
      <c r="LP2" s="137"/>
      <c r="LQ2" s="137"/>
      <c r="LR2" s="137"/>
      <c r="LS2" s="137"/>
      <c r="LT2" s="137"/>
      <c r="LU2" s="137"/>
      <c r="LV2" s="137"/>
      <c r="LW2" s="137"/>
      <c r="LX2" s="137"/>
      <c r="LY2" s="137"/>
      <c r="LZ2" s="137"/>
      <c r="MA2" s="137"/>
      <c r="MB2" s="137"/>
      <c r="MC2" s="137"/>
      <c r="MD2" s="137"/>
      <c r="ME2" s="137"/>
      <c r="MF2" s="137"/>
      <c r="MG2" s="137"/>
      <c r="MH2" s="137"/>
      <c r="MI2" s="137"/>
      <c r="MJ2" s="137"/>
      <c r="MK2" s="137"/>
      <c r="ML2" s="137"/>
      <c r="MM2" s="137"/>
      <c r="MN2" s="137"/>
      <c r="MO2" s="137"/>
      <c r="MP2" s="137"/>
      <c r="MQ2" s="137"/>
      <c r="MR2" s="137"/>
      <c r="MS2" s="137"/>
      <c r="MT2" s="137"/>
      <c r="MU2" s="137"/>
      <c r="MV2" s="137"/>
      <c r="MW2" s="137"/>
      <c r="MX2" s="137"/>
      <c r="MY2" s="138"/>
    </row>
    <row r="3" spans="1:363" ht="19.5" customHeight="1" x14ac:dyDescent="0.2">
      <c r="A3" s="88"/>
      <c r="B3" s="141"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2"/>
      <c r="C4" s="44">
        <v>30</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27"/>
      <c r="CQ4" s="128"/>
      <c r="CR4" s="129"/>
      <c r="CS4" s="130"/>
      <c r="CT4" s="128"/>
      <c r="CU4" s="129"/>
      <c r="CV4" s="130"/>
      <c r="CW4" s="128"/>
      <c r="CX4" s="129"/>
      <c r="CY4" s="130"/>
      <c r="CZ4" s="128"/>
      <c r="DA4" s="129"/>
      <c r="DB4" s="130"/>
      <c r="DC4" s="128"/>
      <c r="DD4" s="129"/>
      <c r="DE4" s="130"/>
      <c r="DF4" s="128"/>
      <c r="DG4" s="129"/>
      <c r="DH4" s="130"/>
      <c r="DI4" s="128"/>
      <c r="DJ4" s="129"/>
      <c r="DK4" s="130"/>
      <c r="DL4" s="128"/>
      <c r="DM4" s="129"/>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130"/>
      <c r="GU4" s="128"/>
      <c r="GV4" s="129"/>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3"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40"/>
      <c r="C6" s="100">
        <v>64</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128"/>
      <c r="EB6" s="129"/>
      <c r="EC6" s="130"/>
      <c r="ED6" s="128"/>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9"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40"/>
      <c r="C8" s="100">
        <v>13</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130"/>
      <c r="DO8" s="128"/>
      <c r="DP8" s="129"/>
      <c r="DQ8" s="130"/>
      <c r="DR8" s="128"/>
      <c r="DS8" s="129"/>
      <c r="DT8" s="97"/>
      <c r="DU8" s="95"/>
      <c r="DV8" s="96"/>
      <c r="DW8" s="97"/>
      <c r="DX8" s="95"/>
      <c r="DY8" s="96"/>
      <c r="DZ8" s="130"/>
      <c r="EA8" s="95"/>
      <c r="EB8" s="96"/>
      <c r="EC8" s="97"/>
      <c r="ED8" s="95"/>
      <c r="EE8" s="129"/>
      <c r="EF8" s="97"/>
      <c r="EG8" s="95"/>
      <c r="EH8" s="96"/>
      <c r="EI8" s="97"/>
      <c r="EJ8" s="95"/>
      <c r="EK8" s="96"/>
      <c r="EL8" s="97"/>
      <c r="EM8" s="95"/>
      <c r="EN8" s="96"/>
      <c r="EO8" s="97"/>
      <c r="EP8" s="95"/>
      <c r="EQ8" s="96"/>
      <c r="ER8" s="97"/>
      <c r="ES8" s="95"/>
      <c r="ET8" s="96"/>
      <c r="EU8" s="97"/>
      <c r="EV8" s="95"/>
      <c r="EW8" s="96"/>
      <c r="EX8" s="97"/>
      <c r="EY8" s="95"/>
      <c r="EZ8" s="96"/>
      <c r="FA8" s="130"/>
      <c r="FB8" s="128"/>
      <c r="FC8" s="129"/>
      <c r="FD8" s="97"/>
      <c r="FE8" s="95"/>
      <c r="FF8" s="96"/>
      <c r="FG8" s="97"/>
      <c r="FH8" s="95"/>
      <c r="FI8" s="96"/>
      <c r="FJ8" s="97"/>
      <c r="FK8" s="95"/>
      <c r="FL8" s="96"/>
      <c r="FM8" s="97"/>
      <c r="FN8" s="95"/>
      <c r="FO8" s="96"/>
      <c r="FP8" s="97"/>
      <c r="FQ8" s="95"/>
      <c r="FR8" s="96"/>
      <c r="FS8" s="97"/>
      <c r="FT8" s="95"/>
      <c r="FU8" s="96"/>
      <c r="FV8" s="97"/>
      <c r="FW8" s="95"/>
      <c r="FX8" s="96"/>
      <c r="FY8" s="130"/>
      <c r="FZ8" s="128"/>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9"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40"/>
      <c r="C10" s="100">
        <v>12</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129"/>
      <c r="DW10" s="130"/>
      <c r="DX10" s="128"/>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9"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40"/>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9"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40"/>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9"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40"/>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9"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40"/>
      <c r="C18" s="100">
        <v>61</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130"/>
      <c r="EP18" s="128"/>
      <c r="EQ18" s="129"/>
      <c r="ER18" s="130"/>
      <c r="ES18" s="128"/>
      <c r="ET18" s="129"/>
      <c r="EU18" s="130"/>
      <c r="EV18" s="128"/>
      <c r="EW18" s="129"/>
      <c r="EX18" s="130"/>
      <c r="EY18" s="128"/>
      <c r="EZ18" s="96"/>
      <c r="FA18" s="97"/>
      <c r="FB18" s="95"/>
      <c r="FC18" s="96"/>
      <c r="FD18" s="130"/>
      <c r="FE18" s="128"/>
      <c r="FF18" s="129"/>
      <c r="FG18" s="130"/>
      <c r="FH18" s="128"/>
      <c r="FI18" s="129"/>
      <c r="FJ18" s="130"/>
      <c r="FK18" s="128"/>
      <c r="FL18" s="129"/>
      <c r="FM18" s="130"/>
      <c r="FN18" s="128"/>
      <c r="FO18" s="96"/>
      <c r="FP18" s="130"/>
      <c r="FQ18" s="128"/>
      <c r="FR18" s="129"/>
      <c r="FS18" s="130"/>
      <c r="FT18" s="128"/>
      <c r="FU18" s="129"/>
      <c r="FV18" s="130"/>
      <c r="FW18" s="128"/>
      <c r="FX18" s="129"/>
      <c r="FY18" s="97"/>
      <c r="FZ18" s="95"/>
      <c r="GA18" s="98"/>
      <c r="GB18" s="127"/>
      <c r="GC18" s="128"/>
      <c r="GD18" s="129"/>
      <c r="GE18" s="130"/>
      <c r="GF18" s="128"/>
      <c r="GG18" s="129"/>
      <c r="GH18" s="130"/>
      <c r="GI18" s="128"/>
      <c r="GJ18" s="129"/>
      <c r="GK18" s="130"/>
      <c r="GL18" s="128"/>
      <c r="GM18" s="96"/>
      <c r="GN18" s="130"/>
      <c r="GO18" s="128"/>
      <c r="GP18" s="129"/>
      <c r="GQ18" s="130"/>
      <c r="GR18" s="128"/>
      <c r="GS18" s="129"/>
      <c r="GT18" s="97"/>
      <c r="GU18" s="95"/>
      <c r="GV18" s="96"/>
      <c r="GW18" s="130"/>
      <c r="GX18" s="128"/>
      <c r="GY18" s="96"/>
      <c r="GZ18" s="130"/>
      <c r="HA18" s="128"/>
      <c r="HB18" s="129"/>
      <c r="HC18" s="130"/>
      <c r="HD18" s="128"/>
      <c r="HE18" s="129"/>
      <c r="HF18" s="130"/>
      <c r="HG18" s="128"/>
      <c r="HH18" s="129"/>
      <c r="HI18" s="130"/>
      <c r="HJ18" s="128"/>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9"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40"/>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9"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40"/>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9"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40"/>
      <c r="C24" s="100">
        <v>8</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130"/>
      <c r="EG24" s="128"/>
      <c r="EH24" s="129"/>
      <c r="EI24" s="130"/>
      <c r="EJ24" s="128"/>
      <c r="EK24" s="129"/>
      <c r="EL24" s="130"/>
      <c r="EM24" s="128"/>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9"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40"/>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9"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40"/>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9"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40"/>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9"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40"/>
      <c r="C32" s="100">
        <v>8</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130"/>
      <c r="DU32" s="128"/>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9"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40"/>
      <c r="C34" s="100">
        <v>20</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33"/>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29"/>
      <c r="DZ34" s="97"/>
      <c r="EA34" s="95"/>
      <c r="EB34" s="96"/>
      <c r="EC34" s="97"/>
      <c r="ED34" s="95"/>
      <c r="EE34" s="96"/>
      <c r="EF34" s="97"/>
      <c r="EG34" s="95"/>
      <c r="EH34" s="96"/>
      <c r="EI34" s="97"/>
      <c r="EJ34" s="95"/>
      <c r="EK34" s="96"/>
      <c r="EL34" s="97"/>
      <c r="EM34" s="95"/>
      <c r="EN34" s="129"/>
      <c r="EO34" s="97"/>
      <c r="EP34" s="95"/>
      <c r="EQ34" s="96"/>
      <c r="ER34" s="97"/>
      <c r="ES34" s="95"/>
      <c r="ET34" s="96"/>
      <c r="EU34" s="97"/>
      <c r="EV34" s="95"/>
      <c r="EW34" s="96"/>
      <c r="EX34" s="97"/>
      <c r="EY34" s="95"/>
      <c r="EZ34" s="129"/>
      <c r="FA34" s="97"/>
      <c r="FB34" s="95"/>
      <c r="FC34" s="96"/>
      <c r="FD34" s="97"/>
      <c r="FE34" s="95"/>
      <c r="FF34" s="96"/>
      <c r="FG34" s="97"/>
      <c r="FH34" s="95"/>
      <c r="FI34" s="96"/>
      <c r="FJ34" s="97"/>
      <c r="FK34" s="95"/>
      <c r="FL34" s="96"/>
      <c r="FM34" s="97"/>
      <c r="FN34" s="95"/>
      <c r="FO34" s="129"/>
      <c r="FP34" s="97"/>
      <c r="FQ34" s="95"/>
      <c r="FR34" s="96"/>
      <c r="FS34" s="97"/>
      <c r="FT34" s="95"/>
      <c r="FU34" s="96"/>
      <c r="FV34" s="97"/>
      <c r="FW34" s="95"/>
      <c r="FX34" s="96"/>
      <c r="FY34" s="97"/>
      <c r="FZ34" s="95"/>
      <c r="GA34" s="133"/>
      <c r="GB34" s="94"/>
      <c r="GC34" s="95"/>
      <c r="GD34" s="96"/>
      <c r="GE34" s="97"/>
      <c r="GF34" s="95"/>
      <c r="GG34" s="96"/>
      <c r="GH34" s="97"/>
      <c r="GI34" s="95"/>
      <c r="GJ34" s="96"/>
      <c r="GK34" s="97"/>
      <c r="GL34" s="95"/>
      <c r="GM34" s="129"/>
      <c r="GN34" s="97"/>
      <c r="GO34" s="95"/>
      <c r="GP34" s="96"/>
      <c r="GQ34" s="97"/>
      <c r="GR34" s="95"/>
      <c r="GS34" s="96"/>
      <c r="GT34" s="97"/>
      <c r="GU34" s="95"/>
      <c r="GV34" s="96"/>
      <c r="GW34" s="97"/>
      <c r="GX34" s="95"/>
      <c r="GY34" s="129"/>
      <c r="GZ34" s="97"/>
      <c r="HA34" s="95"/>
      <c r="HB34" s="96"/>
      <c r="HC34" s="97"/>
      <c r="HD34" s="95"/>
      <c r="HE34" s="96"/>
      <c r="HF34" s="97"/>
      <c r="HG34" s="95"/>
      <c r="HH34" s="96"/>
      <c r="HI34" s="97"/>
      <c r="HJ34" s="95"/>
      <c r="HK34" s="129"/>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216</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 ref="GB2:JM2"/>
    <mergeCell ref="JN2:MY2"/>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3"/>
  <sheetViews>
    <sheetView tabSelected="1" view="pageBreakPreview" zoomScaleNormal="100" zoomScaleSheetLayoutView="100" workbookViewId="0">
      <selection activeCell="C103" sqref="C10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108"/>
      <c r="B53" s="109"/>
      <c r="C53" s="110" t="s">
        <v>52</v>
      </c>
      <c r="D53" s="111"/>
    </row>
    <row r="54" spans="1:9" ht="13.5" x14ac:dyDescent="0.2">
      <c r="A54" s="5" t="s">
        <v>21</v>
      </c>
      <c r="B54" s="6">
        <v>24</v>
      </c>
      <c r="C54" s="14" t="s">
        <v>55</v>
      </c>
      <c r="D54" s="14"/>
    </row>
    <row r="55" spans="1:9" ht="13.5" x14ac:dyDescent="0.2">
      <c r="A55" s="112"/>
      <c r="B55" s="112"/>
      <c r="C55" s="113" t="s">
        <v>48</v>
      </c>
      <c r="D55" s="111"/>
    </row>
    <row r="56" spans="1:9" ht="67.5" x14ac:dyDescent="0.2">
      <c r="A56" s="5" t="s">
        <v>29</v>
      </c>
      <c r="B56" s="6">
        <v>6</v>
      </c>
      <c r="C56" s="14" t="s">
        <v>112</v>
      </c>
      <c r="D56" s="14"/>
    </row>
    <row r="57" spans="1:9" ht="25.5" x14ac:dyDescent="0.2">
      <c r="A57" s="5"/>
      <c r="B57" s="6"/>
      <c r="C57" s="14" t="s">
        <v>114</v>
      </c>
      <c r="D57" s="121" t="s">
        <v>113</v>
      </c>
    </row>
    <row r="58" spans="1:9" ht="13.5" x14ac:dyDescent="0.2">
      <c r="A58" s="5"/>
      <c r="B58" s="6"/>
      <c r="C58" s="14" t="s">
        <v>115</v>
      </c>
      <c r="D58" s="121" t="s">
        <v>116</v>
      </c>
    </row>
    <row r="59" spans="1:9" ht="25.5" x14ac:dyDescent="0.2">
      <c r="A59" s="5"/>
      <c r="B59" s="6"/>
      <c r="C59" s="14"/>
      <c r="D59" s="121" t="s">
        <v>118</v>
      </c>
    </row>
    <row r="60" spans="1:9" ht="38.25" x14ac:dyDescent="0.2">
      <c r="A60" s="5"/>
      <c r="B60" s="6"/>
      <c r="C60" s="14" t="s">
        <v>117</v>
      </c>
      <c r="D60" s="121" t="s">
        <v>119</v>
      </c>
    </row>
    <row r="61" spans="1:9" ht="25.5" x14ac:dyDescent="0.2">
      <c r="A61" s="5"/>
      <c r="B61" s="6"/>
      <c r="C61" s="14" t="s">
        <v>120</v>
      </c>
      <c r="D61" s="121" t="s">
        <v>121</v>
      </c>
      <c r="E61" s="37"/>
      <c r="F61" s="37"/>
      <c r="G61" s="37"/>
      <c r="H61" s="37"/>
      <c r="I61" s="37"/>
    </row>
    <row r="62" spans="1:9" ht="12.75" customHeight="1" x14ac:dyDescent="0.2">
      <c r="A62" s="5" t="s">
        <v>27</v>
      </c>
      <c r="B62" s="6">
        <v>2</v>
      </c>
      <c r="C62" s="14" t="s">
        <v>122</v>
      </c>
      <c r="D62" s="121" t="s">
        <v>107</v>
      </c>
      <c r="E62" s="37"/>
      <c r="F62" s="54"/>
      <c r="G62" s="55"/>
      <c r="H62" s="56"/>
      <c r="I62" s="37"/>
    </row>
    <row r="63" spans="1:9" ht="27" x14ac:dyDescent="0.2">
      <c r="A63" s="6" t="s">
        <v>54</v>
      </c>
      <c r="B63" s="6">
        <v>3</v>
      </c>
      <c r="C63" s="14" t="s">
        <v>124</v>
      </c>
      <c r="D63" s="121" t="s">
        <v>123</v>
      </c>
      <c r="E63" s="37"/>
      <c r="F63" s="57"/>
      <c r="G63" s="53"/>
      <c r="H63" s="53"/>
      <c r="I63" s="37"/>
    </row>
    <row r="64" spans="1:9" ht="13.5" x14ac:dyDescent="0.2">
      <c r="A64" s="5" t="s">
        <v>38</v>
      </c>
      <c r="B64" s="6">
        <v>1</v>
      </c>
      <c r="C64" s="80" t="s">
        <v>70</v>
      </c>
      <c r="D64" s="14"/>
      <c r="E64" s="37"/>
      <c r="F64" s="59"/>
      <c r="G64" s="60"/>
      <c r="H64" s="60"/>
      <c r="I64" s="37"/>
    </row>
    <row r="65" spans="1:9" ht="13.5" x14ac:dyDescent="0.2">
      <c r="A65" s="112"/>
      <c r="B65" s="112"/>
      <c r="C65" s="113" t="s">
        <v>49</v>
      </c>
      <c r="D65" s="111"/>
      <c r="E65" s="37"/>
      <c r="F65" s="59"/>
      <c r="G65" s="60"/>
      <c r="H65" s="60"/>
      <c r="I65" s="37"/>
    </row>
    <row r="66" spans="1:9" ht="25.5" x14ac:dyDescent="0.2">
      <c r="A66" s="5" t="s">
        <v>29</v>
      </c>
      <c r="B66" s="6">
        <v>1</v>
      </c>
      <c r="C66" s="80" t="s">
        <v>125</v>
      </c>
      <c r="D66" s="121" t="s">
        <v>123</v>
      </c>
      <c r="E66" s="37"/>
      <c r="F66" s="59"/>
      <c r="G66" s="60"/>
      <c r="H66" s="60"/>
      <c r="I66" s="37"/>
    </row>
    <row r="67" spans="1:9" ht="27" x14ac:dyDescent="0.2">
      <c r="A67" s="5" t="s">
        <v>28</v>
      </c>
      <c r="B67" s="6">
        <v>4</v>
      </c>
      <c r="C67" s="80" t="s">
        <v>126</v>
      </c>
      <c r="D67" s="14"/>
      <c r="E67" s="37"/>
      <c r="F67" s="59"/>
      <c r="G67" s="60"/>
      <c r="H67" s="60"/>
      <c r="I67" s="37"/>
    </row>
    <row r="68" spans="1:9" ht="25.5" x14ac:dyDescent="0.2">
      <c r="A68" s="5" t="s">
        <v>29</v>
      </c>
      <c r="B68" s="6">
        <v>1</v>
      </c>
      <c r="C68" s="80" t="s">
        <v>127</v>
      </c>
      <c r="D68" s="121" t="s">
        <v>128</v>
      </c>
      <c r="E68" s="37"/>
      <c r="F68" s="59"/>
      <c r="G68" s="60"/>
      <c r="H68" s="60"/>
      <c r="I68" s="37"/>
    </row>
    <row r="69" spans="1:9" ht="13.5" x14ac:dyDescent="0.2">
      <c r="A69" s="5" t="s">
        <v>36</v>
      </c>
      <c r="B69" s="6">
        <v>8</v>
      </c>
      <c r="C69" s="80" t="s">
        <v>129</v>
      </c>
      <c r="D69" s="14"/>
      <c r="E69" s="37"/>
      <c r="F69" s="59"/>
      <c r="G69" s="60"/>
      <c r="H69" s="60"/>
      <c r="I69" s="37"/>
    </row>
    <row r="70" spans="1:9" ht="14.25" thickBot="1" x14ac:dyDescent="0.25">
      <c r="A70" s="5" t="s">
        <v>38</v>
      </c>
      <c r="B70" s="6">
        <v>1</v>
      </c>
      <c r="C70" s="80" t="s">
        <v>70</v>
      </c>
      <c r="D70" s="14"/>
      <c r="E70" s="37"/>
      <c r="F70" s="59"/>
      <c r="G70" s="60"/>
      <c r="H70" s="60"/>
      <c r="I70" s="37"/>
    </row>
    <row r="71" spans="1:9" ht="13.5" x14ac:dyDescent="0.2">
      <c r="A71" s="5"/>
      <c r="B71" s="6"/>
      <c r="C71" s="110" t="s">
        <v>85</v>
      </c>
      <c r="D71" s="14"/>
      <c r="E71" s="37"/>
      <c r="F71" s="59"/>
      <c r="G71" s="60"/>
      <c r="H71" s="60"/>
      <c r="I71" s="37"/>
    </row>
    <row r="72" spans="1:9" ht="40.5" x14ac:dyDescent="0.2">
      <c r="A72" s="5" t="s">
        <v>33</v>
      </c>
      <c r="B72" s="6">
        <v>11</v>
      </c>
      <c r="C72" s="80" t="s">
        <v>130</v>
      </c>
      <c r="D72" s="14"/>
      <c r="E72" s="37"/>
      <c r="F72" s="59"/>
      <c r="G72" s="60"/>
      <c r="H72" s="60"/>
      <c r="I72" s="37"/>
    </row>
    <row r="73" spans="1:9" ht="13.5" x14ac:dyDescent="0.2">
      <c r="A73" s="5" t="s">
        <v>38</v>
      </c>
      <c r="B73" s="6">
        <v>1</v>
      </c>
      <c r="C73" s="80" t="s">
        <v>70</v>
      </c>
      <c r="D73" s="14"/>
      <c r="E73" s="37"/>
      <c r="F73" s="59"/>
      <c r="G73" s="60"/>
      <c r="H73" s="60"/>
      <c r="I73" s="37"/>
    </row>
    <row r="74" spans="1:9" ht="13.5" x14ac:dyDescent="0.2">
      <c r="A74" s="112"/>
      <c r="B74" s="112"/>
      <c r="C74" s="113" t="s">
        <v>50</v>
      </c>
      <c r="D74" s="111"/>
      <c r="E74" s="37"/>
      <c r="F74" s="59"/>
      <c r="G74" s="60"/>
      <c r="H74" s="60"/>
      <c r="I74" s="37"/>
    </row>
    <row r="75" spans="1:9" ht="27" x14ac:dyDescent="0.2">
      <c r="A75" s="5" t="s">
        <v>29</v>
      </c>
      <c r="B75" s="6">
        <v>1</v>
      </c>
      <c r="C75" s="80" t="s">
        <v>131</v>
      </c>
      <c r="D75" s="121" t="s">
        <v>132</v>
      </c>
      <c r="E75" s="37"/>
      <c r="F75" s="59"/>
      <c r="G75" s="60"/>
      <c r="H75" s="60"/>
      <c r="I75" s="37"/>
    </row>
    <row r="76" spans="1:9" ht="27" x14ac:dyDescent="0.2">
      <c r="A76" s="5" t="s">
        <v>29</v>
      </c>
      <c r="B76" s="6">
        <v>2</v>
      </c>
      <c r="C76" s="80" t="s">
        <v>133</v>
      </c>
      <c r="D76" s="121" t="s">
        <v>134</v>
      </c>
      <c r="E76" s="37"/>
      <c r="F76" s="59"/>
      <c r="G76" s="60"/>
      <c r="H76" s="60"/>
      <c r="I76" s="37"/>
    </row>
    <row r="77" spans="1:9" ht="27" x14ac:dyDescent="0.2">
      <c r="A77" s="5" t="s">
        <v>33</v>
      </c>
      <c r="B77" s="6">
        <v>3</v>
      </c>
      <c r="C77" s="80" t="s">
        <v>135</v>
      </c>
      <c r="D77" s="14"/>
      <c r="E77" s="37"/>
      <c r="F77" s="59"/>
      <c r="G77" s="60"/>
      <c r="H77" s="60"/>
      <c r="I77" s="37"/>
    </row>
    <row r="78" spans="1:9" ht="40.5" x14ac:dyDescent="0.2">
      <c r="A78" s="5" t="s">
        <v>33</v>
      </c>
      <c r="B78" s="6">
        <v>4</v>
      </c>
      <c r="C78" s="80" t="s">
        <v>136</v>
      </c>
      <c r="D78" s="14"/>
      <c r="E78" s="37"/>
      <c r="F78" s="59"/>
      <c r="G78" s="60"/>
      <c r="H78" s="60"/>
      <c r="I78" s="37"/>
    </row>
    <row r="79" spans="1:9" ht="54" x14ac:dyDescent="0.2">
      <c r="A79" s="5" t="s">
        <v>33</v>
      </c>
      <c r="B79" s="6">
        <v>4</v>
      </c>
      <c r="C79" s="80" t="s">
        <v>137</v>
      </c>
      <c r="D79" s="14"/>
      <c r="E79" s="37"/>
      <c r="F79" s="59"/>
      <c r="G79" s="60"/>
      <c r="H79" s="60"/>
      <c r="I79" s="37"/>
    </row>
    <row r="80" spans="1:9" ht="14.25" thickBot="1" x14ac:dyDescent="0.25">
      <c r="A80" s="5" t="s">
        <v>38</v>
      </c>
      <c r="B80" s="6">
        <v>1</v>
      </c>
      <c r="C80" s="80" t="s">
        <v>70</v>
      </c>
      <c r="D80" s="14"/>
      <c r="E80" s="37"/>
      <c r="F80" s="59"/>
      <c r="G80" s="60"/>
      <c r="H80" s="60"/>
      <c r="I80" s="37"/>
    </row>
    <row r="81" spans="1:9" ht="13.5" x14ac:dyDescent="0.2">
      <c r="A81" s="5"/>
      <c r="B81" s="6"/>
      <c r="C81" s="110" t="s">
        <v>85</v>
      </c>
      <c r="D81" s="14"/>
      <c r="E81" s="37"/>
      <c r="F81" s="59"/>
      <c r="G81" s="60"/>
      <c r="H81" s="60"/>
      <c r="I81" s="37"/>
    </row>
    <row r="82" spans="1:9" ht="27" x14ac:dyDescent="0.2">
      <c r="A82" s="5" t="s">
        <v>33</v>
      </c>
      <c r="B82" s="6">
        <v>6</v>
      </c>
      <c r="C82" s="80" t="s">
        <v>138</v>
      </c>
      <c r="D82" s="14"/>
      <c r="E82" s="37"/>
      <c r="F82" s="59"/>
      <c r="G82" s="60"/>
      <c r="H82" s="60"/>
      <c r="I82" s="37"/>
    </row>
    <row r="83" spans="1:9" ht="27" x14ac:dyDescent="0.2">
      <c r="A83" s="5" t="s">
        <v>33</v>
      </c>
      <c r="B83" s="6">
        <v>3</v>
      </c>
      <c r="C83" s="80" t="s">
        <v>139</v>
      </c>
      <c r="D83" s="14"/>
      <c r="E83" s="37"/>
      <c r="F83" s="59"/>
      <c r="G83" s="60"/>
      <c r="H83" s="60"/>
      <c r="I83" s="37"/>
    </row>
    <row r="84" spans="1:9" ht="25.5" x14ac:dyDescent="0.2">
      <c r="A84" s="5" t="s">
        <v>29</v>
      </c>
      <c r="B84" s="6">
        <v>2</v>
      </c>
      <c r="C84" s="80" t="s">
        <v>140</v>
      </c>
      <c r="D84" s="121" t="s">
        <v>141</v>
      </c>
      <c r="E84" s="37"/>
      <c r="F84" s="59"/>
      <c r="G84" s="60"/>
      <c r="H84" s="60"/>
      <c r="I84" s="37"/>
    </row>
    <row r="85" spans="1:9" ht="14.25" thickBot="1" x14ac:dyDescent="0.25">
      <c r="A85" s="5" t="s">
        <v>38</v>
      </c>
      <c r="B85" s="6">
        <v>1</v>
      </c>
      <c r="C85" s="80" t="s">
        <v>70</v>
      </c>
      <c r="D85" s="14"/>
      <c r="E85" s="37"/>
      <c r="F85" s="59"/>
      <c r="G85" s="60"/>
      <c r="H85" s="60"/>
      <c r="I85" s="37"/>
    </row>
    <row r="86" spans="1:9" ht="14.25" thickBot="1" x14ac:dyDescent="0.25">
      <c r="A86" s="76" t="s">
        <v>22</v>
      </c>
      <c r="B86" s="76">
        <f>SUM(B53:B85)</f>
        <v>90</v>
      </c>
      <c r="C86" s="83" t="s">
        <v>39</v>
      </c>
      <c r="D86" s="77"/>
      <c r="E86" s="37"/>
    </row>
    <row r="87" spans="1:9" ht="15" thickBot="1" x14ac:dyDescent="0.35">
      <c r="A87" s="78"/>
      <c r="B87" s="78"/>
      <c r="C87" s="78"/>
      <c r="D87" s="78"/>
      <c r="E87" s="37"/>
    </row>
    <row r="88" spans="1:9" ht="18.75" thickBot="1" x14ac:dyDescent="0.25">
      <c r="A88" s="71" t="s">
        <v>14</v>
      </c>
      <c r="B88" s="72">
        <v>3</v>
      </c>
      <c r="C88" s="73" t="s">
        <v>23</v>
      </c>
      <c r="D88" s="82">
        <v>42898</v>
      </c>
      <c r="E88" s="37"/>
    </row>
    <row r="89" spans="1:9" ht="27.75" thickBot="1" x14ac:dyDescent="0.25">
      <c r="A89" s="74" t="s">
        <v>3</v>
      </c>
      <c r="B89" s="75" t="s">
        <v>15</v>
      </c>
      <c r="C89" s="74" t="s">
        <v>7</v>
      </c>
      <c r="D89" s="74" t="s">
        <v>13</v>
      </c>
      <c r="E89" s="37"/>
    </row>
    <row r="90" spans="1:9" ht="13.5" x14ac:dyDescent="0.2">
      <c r="A90" s="108"/>
      <c r="B90" s="109"/>
      <c r="C90" s="110" t="s">
        <v>52</v>
      </c>
      <c r="D90" s="111"/>
      <c r="E90" s="37"/>
    </row>
    <row r="91" spans="1:9" ht="121.5" x14ac:dyDescent="0.2">
      <c r="A91" s="5" t="s">
        <v>33</v>
      </c>
      <c r="B91" s="6">
        <v>11</v>
      </c>
      <c r="C91" s="14" t="s">
        <v>142</v>
      </c>
      <c r="D91" s="14"/>
      <c r="E91" s="37"/>
    </row>
    <row r="92" spans="1:9" ht="14.25" thickBot="1" x14ac:dyDescent="0.25">
      <c r="A92" s="5" t="s">
        <v>38</v>
      </c>
      <c r="B92" s="6">
        <v>1</v>
      </c>
      <c r="C92" s="80" t="s">
        <v>70</v>
      </c>
      <c r="D92" s="14"/>
      <c r="E92" s="37"/>
    </row>
    <row r="93" spans="1:9" ht="13.5" x14ac:dyDescent="0.2">
      <c r="A93" s="5"/>
      <c r="B93" s="6"/>
      <c r="C93" s="110" t="s">
        <v>85</v>
      </c>
      <c r="D93" s="14"/>
      <c r="E93" s="37"/>
      <c r="F93" s="59"/>
      <c r="G93" s="60"/>
      <c r="H93" s="60"/>
      <c r="I93" s="37"/>
    </row>
    <row r="94" spans="1:9" ht="27" x14ac:dyDescent="0.2">
      <c r="A94" s="5" t="s">
        <v>33</v>
      </c>
      <c r="B94" s="6">
        <v>6</v>
      </c>
      <c r="C94" s="14" t="s">
        <v>143</v>
      </c>
      <c r="D94" s="14"/>
      <c r="E94" s="37"/>
      <c r="F94" s="59"/>
      <c r="G94" s="60"/>
      <c r="H94" s="60"/>
      <c r="I94" s="37"/>
    </row>
    <row r="95" spans="1:9" ht="13.5" x14ac:dyDescent="0.2">
      <c r="A95" s="5" t="s">
        <v>21</v>
      </c>
      <c r="B95" s="6">
        <v>3</v>
      </c>
      <c r="C95" s="14" t="s">
        <v>56</v>
      </c>
      <c r="D95" s="14"/>
      <c r="E95" s="37"/>
      <c r="F95" s="59"/>
      <c r="G95" s="60"/>
      <c r="H95" s="60"/>
      <c r="I95" s="37"/>
    </row>
    <row r="96" spans="1:9" ht="27" x14ac:dyDescent="0.2">
      <c r="A96" s="5" t="s">
        <v>33</v>
      </c>
      <c r="B96" s="6">
        <v>2</v>
      </c>
      <c r="C96" s="14" t="s">
        <v>144</v>
      </c>
      <c r="D96" s="14"/>
      <c r="E96" s="37"/>
      <c r="F96" s="61"/>
      <c r="G96" s="62"/>
      <c r="H96" s="62"/>
      <c r="I96" s="37"/>
    </row>
    <row r="97" spans="1:9" ht="15" thickBot="1" x14ac:dyDescent="0.35">
      <c r="A97" s="5" t="s">
        <v>38</v>
      </c>
      <c r="B97" s="6">
        <v>1</v>
      </c>
      <c r="C97" s="80" t="s">
        <v>70</v>
      </c>
      <c r="D97" s="14"/>
      <c r="E97" s="37"/>
      <c r="F97" s="63"/>
      <c r="G97" s="63"/>
      <c r="H97" s="63"/>
      <c r="I97" s="37"/>
    </row>
    <row r="98" spans="1:9" ht="14.25" x14ac:dyDescent="0.3">
      <c r="A98" s="108"/>
      <c r="B98" s="109"/>
      <c r="C98" s="110" t="s">
        <v>48</v>
      </c>
      <c r="D98" s="111"/>
      <c r="E98" s="37"/>
      <c r="F98" s="63"/>
      <c r="G98" s="63"/>
      <c r="H98" s="63"/>
      <c r="I98" s="37"/>
    </row>
    <row r="99" spans="1:9" ht="40.5" x14ac:dyDescent="0.3">
      <c r="A99" s="5" t="s">
        <v>33</v>
      </c>
      <c r="B99" s="6">
        <v>2</v>
      </c>
      <c r="C99" s="80" t="s">
        <v>145</v>
      </c>
      <c r="D99" s="14"/>
      <c r="E99" s="37"/>
      <c r="F99" s="63"/>
      <c r="G99" s="63"/>
      <c r="H99" s="63"/>
      <c r="I99" s="37"/>
    </row>
    <row r="100" spans="1:9" ht="54" x14ac:dyDescent="0.3">
      <c r="A100" s="5" t="s">
        <v>33</v>
      </c>
      <c r="B100" s="6">
        <v>4</v>
      </c>
      <c r="C100" s="80" t="s">
        <v>146</v>
      </c>
      <c r="D100" s="14"/>
      <c r="E100" s="37"/>
      <c r="F100" s="63"/>
      <c r="G100" s="63"/>
      <c r="H100" s="63"/>
      <c r="I100" s="37"/>
    </row>
    <row r="101" spans="1:9" ht="27" x14ac:dyDescent="0.3">
      <c r="A101" s="5" t="s">
        <v>33</v>
      </c>
      <c r="B101" s="6">
        <v>1</v>
      </c>
      <c r="C101" s="80" t="s">
        <v>147</v>
      </c>
      <c r="D101" s="14"/>
      <c r="E101" s="37"/>
      <c r="F101" s="63"/>
      <c r="G101" s="63"/>
      <c r="H101" s="63"/>
      <c r="I101" s="37"/>
    </row>
    <row r="102" spans="1:9" ht="54" x14ac:dyDescent="0.3">
      <c r="A102" s="5" t="s">
        <v>33</v>
      </c>
      <c r="B102" s="6">
        <v>4</v>
      </c>
      <c r="C102" s="80" t="s">
        <v>148</v>
      </c>
      <c r="D102" s="14"/>
      <c r="E102" s="37"/>
      <c r="F102" s="63"/>
      <c r="G102" s="63"/>
      <c r="H102" s="63"/>
      <c r="I102" s="37"/>
    </row>
    <row r="103" spans="1:9" ht="14.25" x14ac:dyDescent="0.3">
      <c r="A103" s="5" t="s">
        <v>38</v>
      </c>
      <c r="B103" s="6">
        <v>1</v>
      </c>
      <c r="C103" s="80" t="s">
        <v>70</v>
      </c>
      <c r="D103" s="14"/>
      <c r="E103" s="37"/>
      <c r="F103" s="63"/>
      <c r="G103" s="63"/>
      <c r="H103" s="63"/>
      <c r="I103" s="37"/>
    </row>
    <row r="104" spans="1:9" ht="14.25" x14ac:dyDescent="0.3">
      <c r="A104" s="5"/>
      <c r="B104" s="6"/>
      <c r="C104" s="80"/>
      <c r="D104" s="14"/>
      <c r="E104" s="37"/>
      <c r="F104" s="63"/>
      <c r="G104" s="63"/>
      <c r="H104" s="63"/>
      <c r="I104" s="37"/>
    </row>
    <row r="105" spans="1:9" ht="13.5" x14ac:dyDescent="0.2">
      <c r="A105" s="5"/>
      <c r="B105" s="6"/>
      <c r="C105" s="14"/>
      <c r="D105" s="14"/>
      <c r="E105" s="37"/>
      <c r="F105" s="37"/>
      <c r="G105" s="37"/>
      <c r="H105" s="37"/>
      <c r="I105" s="37"/>
    </row>
    <row r="106" spans="1:9" ht="13.5" x14ac:dyDescent="0.2">
      <c r="A106" s="6"/>
      <c r="B106" s="6"/>
      <c r="C106" s="14"/>
      <c r="D106" s="14"/>
      <c r="E106" s="37"/>
      <c r="F106" s="37"/>
      <c r="G106" s="37"/>
      <c r="H106" s="37"/>
      <c r="I106" s="37"/>
    </row>
    <row r="107" spans="1:9" ht="13.5" x14ac:dyDescent="0.2">
      <c r="A107" s="6"/>
      <c r="B107" s="6"/>
      <c r="C107" s="14"/>
      <c r="D107" s="14"/>
      <c r="E107" s="37"/>
      <c r="F107" s="37"/>
      <c r="G107" s="37"/>
      <c r="H107" s="37"/>
      <c r="I107" s="37"/>
    </row>
    <row r="108" spans="1:9" ht="13.5" x14ac:dyDescent="0.2">
      <c r="A108" s="6"/>
      <c r="B108" s="6"/>
      <c r="C108" s="14"/>
      <c r="D108" s="14"/>
    </row>
    <row r="109" spans="1:9" ht="13.5" x14ac:dyDescent="0.2">
      <c r="A109" s="79"/>
      <c r="B109" s="79"/>
      <c r="C109" s="80"/>
      <c r="D109" s="80"/>
    </row>
    <row r="110" spans="1:9" ht="13.5" x14ac:dyDescent="0.2">
      <c r="A110" s="79"/>
      <c r="B110" s="79"/>
      <c r="C110" s="80"/>
      <c r="D110" s="80"/>
    </row>
    <row r="111" spans="1:9" ht="14.25" thickBot="1" x14ac:dyDescent="0.25">
      <c r="A111" s="7"/>
      <c r="B111" s="7"/>
      <c r="C111" s="15"/>
      <c r="D111" s="15"/>
    </row>
    <row r="112" spans="1:9" ht="14.25" thickBot="1" x14ac:dyDescent="0.25">
      <c r="A112" s="76" t="s">
        <v>22</v>
      </c>
      <c r="B112" s="76">
        <f>SUM(B90:B111)</f>
        <v>36</v>
      </c>
      <c r="C112" s="83" t="s">
        <v>39</v>
      </c>
      <c r="D112" s="77"/>
    </row>
    <row r="113" spans="1:4" ht="15" thickBot="1" x14ac:dyDescent="0.35">
      <c r="A113" s="78"/>
      <c r="B113" s="78"/>
      <c r="C113" s="78"/>
      <c r="D113" s="78"/>
    </row>
    <row r="114" spans="1:4" ht="18.75" thickBot="1" x14ac:dyDescent="0.25">
      <c r="A114" s="71" t="s">
        <v>14</v>
      </c>
      <c r="B114" s="72">
        <v>4</v>
      </c>
      <c r="C114" s="73" t="s">
        <v>23</v>
      </c>
      <c r="D114" s="82">
        <v>42905</v>
      </c>
    </row>
    <row r="115" spans="1:4" ht="27.75" thickBot="1" x14ac:dyDescent="0.25">
      <c r="A115" s="74" t="s">
        <v>3</v>
      </c>
      <c r="B115" s="75" t="s">
        <v>15</v>
      </c>
      <c r="C115" s="74" t="s">
        <v>7</v>
      </c>
      <c r="D115" s="74" t="s">
        <v>13</v>
      </c>
    </row>
    <row r="116" spans="1:4" ht="13.5" x14ac:dyDescent="0.2">
      <c r="A116" s="9"/>
      <c r="B116" s="8"/>
      <c r="C116" s="13"/>
      <c r="D116" s="13"/>
    </row>
    <row r="117" spans="1:4" ht="13.5" x14ac:dyDescent="0.2">
      <c r="A117" s="5"/>
      <c r="B117" s="6"/>
      <c r="C117" s="14"/>
      <c r="D117" s="14"/>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6"/>
      <c r="B125" s="6"/>
      <c r="C125" s="14"/>
      <c r="D125" s="14"/>
    </row>
    <row r="126" spans="1:4" ht="13.5" x14ac:dyDescent="0.2">
      <c r="A126" s="6"/>
      <c r="B126" s="6"/>
      <c r="C126" s="14"/>
      <c r="D126" s="14"/>
    </row>
    <row r="127" spans="1:4" ht="13.5" x14ac:dyDescent="0.2">
      <c r="A127" s="6"/>
      <c r="B127" s="6"/>
      <c r="C127" s="14"/>
      <c r="D127" s="14"/>
    </row>
    <row r="128" spans="1:4" ht="13.5" x14ac:dyDescent="0.2">
      <c r="A128" s="79"/>
      <c r="B128" s="79"/>
      <c r="C128" s="80"/>
      <c r="D128" s="80"/>
    </row>
    <row r="129" spans="1:4" ht="13.5" x14ac:dyDescent="0.2">
      <c r="A129" s="79"/>
      <c r="B129" s="79"/>
      <c r="C129" s="80"/>
      <c r="D129" s="80"/>
    </row>
    <row r="130" spans="1:4" ht="14.25" thickBot="1" x14ac:dyDescent="0.25">
      <c r="A130" s="7"/>
      <c r="B130" s="7"/>
      <c r="C130" s="15"/>
      <c r="D130" s="15"/>
    </row>
    <row r="131" spans="1:4" ht="14.25" thickBot="1" x14ac:dyDescent="0.25">
      <c r="A131" s="76" t="s">
        <v>22</v>
      </c>
      <c r="B131" s="76">
        <f>SUM(B116:B130)</f>
        <v>0</v>
      </c>
      <c r="C131" s="83" t="s">
        <v>39</v>
      </c>
      <c r="D131" s="77"/>
    </row>
    <row r="132" spans="1:4" ht="14.25" x14ac:dyDescent="0.3">
      <c r="A132" s="78"/>
      <c r="B132" s="78"/>
      <c r="C132" s="78"/>
      <c r="D132" s="78"/>
    </row>
    <row r="133" spans="1:4" x14ac:dyDescent="0.2">
      <c r="A133"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96">
      <formula1>0</formula1>
      <formula2>DureePeriode-1</formula2>
    </dataValidation>
    <dataValidation type="whole" errorStyle="warning" operator="greaterThan" allowBlank="1" showInputMessage="1" showErrorMessage="1" errorTitle="Durée en 1/3 de période" error="Le nombre doit être de type entier" sqref="B116:B130 B3:B48 F93:F95 B53:B85 F64:F85 B90:B11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86 B112 B131">
      <formula1>0</formula1>
      <formula2>NbPerWeek * NbQuartPer</formula2>
    </dataValidation>
    <dataValidation type="list" allowBlank="1" showInputMessage="1" showErrorMessage="1" sqref="A116:A130 A3:A48 A53:A85 A90:A111">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 ref="D57" r:id="rId18"/>
    <hyperlink ref="D58" r:id="rId19"/>
    <hyperlink ref="D59" r:id="rId20"/>
    <hyperlink ref="D60" r:id="rId21"/>
    <hyperlink ref="D61" r:id="rId22"/>
    <hyperlink ref="D62" r:id="rId23"/>
    <hyperlink ref="D63" r:id="rId24"/>
    <hyperlink ref="D66" r:id="rId25"/>
    <hyperlink ref="D68" r:id="rId26"/>
    <hyperlink ref="D75" r:id="rId27"/>
    <hyperlink ref="D76" r:id="rId28"/>
    <hyperlink ref="D84" r:id="rId29"/>
  </hyperlinks>
  <printOptions horizontalCentered="1" verticalCentered="1"/>
  <pageMargins left="0.25" right="0.25" top="0.75" bottom="0.75" header="0.3" footer="0.3"/>
  <pageSetup paperSize="9" scale="61" fitToHeight="0" orientation="portrait" cellComments="atEnd" r:id="rId30"/>
  <headerFooter>
    <oddHeader>&amp;L&amp;"ETML L,Normal"&amp;24ETML</oddHeader>
    <oddFooter>&amp;C&amp;F&amp;L&amp;D</oddFooter>
  </headerFooter>
  <drawing r:id="rId31"/>
  <legacyDrawing r:id="rId32"/>
  <controls>
    <mc:AlternateContent xmlns:mc="http://schemas.openxmlformats.org/markup-compatibility/2006">
      <mc:Choice Requires="x14">
        <control shapeId="46081" r:id="rId33" name="btnImportRealisation">
          <controlPr defaultSize="0" autoLine="0" r:id="rId34">
            <anchor moveWithCells="1">
              <from>
                <xdr:col>4</xdr:col>
                <xdr:colOff>590550</xdr:colOff>
                <xdr:row>0</xdr:row>
                <xdr:rowOff>180975</xdr:rowOff>
              </from>
              <to>
                <xdr:col>7</xdr:col>
                <xdr:colOff>257175</xdr:colOff>
                <xdr:row>2</xdr:row>
                <xdr:rowOff>152400</xdr:rowOff>
              </to>
            </anchor>
          </controlPr>
        </control>
      </mc:Choice>
      <mc:Fallback>
        <control shapeId="46081" r:id="rId33"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22"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2017-06-13T14:31:07Z</dcterms:modified>
  <cp:contentStatus>Version 8.0</cp:contentStatus>
</cp:coreProperties>
</file>