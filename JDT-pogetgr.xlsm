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pogetgr\Desktop\"/>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JNLTRAV!$A$1:$D$45</definedName>
    <definedName name="_xlnm.Print_Area" localSheetId="1">Diagramme!$A$1:$MZ$37</definedName>
    <definedName name="_xlnm.Print_Area" localSheetId="0">Donnees!$A$1:$G$54</definedName>
    <definedName name="_xlnm.Print_Area" localSheetId="6">JNLTRAV!$A$1:$D$117</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75" i="159" l="1"/>
  <c r="B33" i="163" l="1"/>
  <c r="B31" i="163"/>
  <c r="B29" i="163"/>
  <c r="B27" i="163"/>
  <c r="B25" i="163"/>
  <c r="B23" i="163"/>
  <c r="B21" i="163"/>
  <c r="B19" i="163"/>
  <c r="B17" i="163"/>
  <c r="B15" i="163"/>
  <c r="B13" i="163"/>
  <c r="B11" i="163"/>
  <c r="B9" i="163"/>
  <c r="B7" i="163"/>
  <c r="B5" i="163"/>
  <c r="C36" i="163"/>
  <c r="C35" i="163"/>
  <c r="B94" i="160"/>
  <c r="B81" i="160"/>
  <c r="B52" i="160"/>
  <c r="B24" i="160"/>
  <c r="B116" i="159"/>
  <c r="B97" i="159"/>
  <c r="B44" i="159"/>
  <c r="B18" i="154" l="1"/>
  <c r="B13" i="11"/>
</calcChain>
</file>

<file path=xl/sharedStrings.xml><?xml version="1.0" encoding="utf-8"?>
<sst xmlns="http://schemas.openxmlformats.org/spreadsheetml/2006/main" count="370" uniqueCount="146">
  <si>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</si>
  <si>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</si>
  <si>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</si>
  <si>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</si>
  <si>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</si>
  <si>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</si>
  <si>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</si>
  <si>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</si>
  <si>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</si>
  <si>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</si>
  <si>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</si>
  <si>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</si>
  <si>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</si>
  <si>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</si>
  <si>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</si>
  <si>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</si>
  <si>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</si>
  <si>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</si>
  <si>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</si>
  <si>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</si>
  <si>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</si>
  <si>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</si>
  <si>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</si>
  <si>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</si>
  <si>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</si>
  <si>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</si>
  <si>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</si>
  <si>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</si>
  <si>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</si>
  <si>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</si>
  <si>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</si>
  <si>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</si>
  <si>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</si>
  <si>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</si>
  <si>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</si>
  <si>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</si>
  <si>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</si>
  <si>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</si>
  <si>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</si>
  <si>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</si>
  <si>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</si>
  <si>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</si>
  <si>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</si>
  <si>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</si>
  <si>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</si>
  <si>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</si>
  <si>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</si>
  <si>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</si>
  <si>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</si>
  <si>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</si>
  <si>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</si>
  <si>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</si>
  <si>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</si>
  <si>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</si>
  <si>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</si>
  <si>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</si>
  <si>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</si>
  <si>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</si>
  <si>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</si>
  <si>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</si>
  <si>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</si>
  <si>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</si>
  <si>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Création du cahier des charges selon les critères du projet avec André</t>
  </si>
  <si>
    <t>H:\GitKraken\DemoMot\AGS-GPT-DemoMot\DemoMot-ags-gpt-ApplicationAndroidJava.docx</t>
  </si>
  <si>
    <t>Création du dépôt Github, initial commit, configuration sur GitKraken pour GitFlow</t>
  </si>
  <si>
    <t>https://github.com/Wayne121/AGS-GPT-DemoMot/</t>
  </si>
  <si>
    <t>H:\GitKraken\DemoMot\AGS-GPT-DemoMot\Modele-JDT.xlsm</t>
  </si>
  <si>
    <t>Création du modèle du Journal de Travail avec plannification pour les 4 semaines qu'André et moi allons utiliser pour le projet</t>
  </si>
  <si>
    <t>Nous sommes partis demander des conseils à KBA concernant notre projet et Cahier des charges, quelques modifications ont été apportés au cahier des charges et nous en savont un peu plus sur Android Studio</t>
  </si>
  <si>
    <t>Visualisation d'une vidéo youtube tutoriel sur Android Studio</t>
  </si>
  <si>
    <t>https://www.youtube.com/watch?v=TCJFoExOBUE</t>
  </si>
  <si>
    <t>http://jmdoudoux.developpez.com/cours/developpons/java/</t>
  </si>
  <si>
    <t xml:space="preserve">Recherches d'un cours complet sur Java qui puisse nous être utile en cas de problème pendant la programmation </t>
  </si>
  <si>
    <t>Séance de classe - 30minutes</t>
  </si>
  <si>
    <t>Quelques essais sur Android studio et découverte du logiciel =&gt; Rien de concluant pour l'instant un simple Hello World</t>
  </si>
  <si>
    <t>Mise à Jour du Journal De Travail et Push sur le Dépôt Git</t>
  </si>
  <si>
    <t>Essais pour installer l'apk pour la tester sur mon Android =&gt; Soit l'application se ferme, soit l'installation échoue, je réessayerai dans quelques jours</t>
  </si>
  <si>
    <t>H:\GitKraken\DemoMot\AGS-GPT-DemoMot\AppTest1.png</t>
  </si>
  <si>
    <t>Mise en place d'une application "compteur" permettant d'incrémenter un nombre lors de l'appui d'un bouton
Commentaires absent pour le moment dû au fait que je ne comprend pas encore bien le code</t>
  </si>
  <si>
    <t>Recherches sur les EditText pour mettre un champ dans l'application</t>
  </si>
  <si>
    <t>Mise à jour du JDT</t>
  </si>
  <si>
    <t>Modifications de l'application pour mettre un champ EditText qui modifie le nombre de click effectué</t>
  </si>
  <si>
    <t xml:space="preserve">Création de l'interface d'une nouvelle application qui converti les celsius en farhenheit et vice versa. </t>
  </si>
  <si>
    <t xml:space="preserve">Création des algorithmes de convertions et affichage </t>
  </si>
  <si>
    <t>(fahrenheit = celsius * 9/5 +32;) 
(celsius = (fahrenheit-32)*5/9;)</t>
  </si>
  <si>
    <t>http://www.programcreek.com/java-api-examples/android.view.View.OnKeyListener</t>
  </si>
  <si>
    <t>Essais sur les KeyEvent pour que le texte se valide uniquement quand le bouton ENTER est pressé</t>
  </si>
  <si>
    <t>Test pour pouvoir reset la zone de texte lors de l'appui sur ENTER =&gt; problème l'application crash dû au fait que l'application ne veut pas mettre un texte null dans la zone de texte ou dans un TextView. Je ferais probablement des recherches là dessus cet après midi</t>
  </si>
  <si>
    <t>Mise à Jour du Journal De Travail</t>
  </si>
  <si>
    <t>https://www.youtube.com/watch?v=MJ_32Tuuu74</t>
  </si>
  <si>
    <t>H:\GitKraken\DemoMot\AGS-GPT-DemoMot\celtofah.png</t>
  </si>
  <si>
    <t>Recherches encore une fois pour installer une APK sur mon smartphone =&gt; Bug au niveau de la compilation</t>
  </si>
  <si>
    <t>https://developer.android.com/studio/publish/app-signing.html
https://www.youtube.com/watch?v=riSZC3xvHas</t>
  </si>
  <si>
    <t>Régler le problème de l'application qui crash pour que le ENTER fonctionne</t>
  </si>
  <si>
    <t>Effacer ce qu'il y a dans le champ après avoir appuyé sur ENTER =&gt; pas réussi dû au problème du champ null</t>
  </si>
  <si>
    <t>Création de la maquette graphique du site</t>
  </si>
  <si>
    <t>Maquette</t>
  </si>
  <si>
    <t>Demande de conseils à KBA</t>
  </si>
  <si>
    <t xml:space="preserve">Recherches pour le débogage USB et création d'apk pour pouvoir tester sur mon smartphone =&gt; rien trouvé de très concluant encore une fois. Sur mon PC personnel fonctionne correctement </t>
  </si>
  <si>
    <t>Recherches sur les background, compliqué à changer dynamiquement, je verrai plus tard si on a le temps de le faire</t>
  </si>
  <si>
    <t>Mise à Jour du JdT</t>
  </si>
  <si>
    <t>https://stackoverflow.com/questions/7478023/how-to-set-background-color-in-the-xml-layout
https://stackoverflow.com/questions/2748830/how-to-change-background-color-in-android-app</t>
  </si>
  <si>
    <t>Ajout d'un background de couleur à l'application CelToFah (Statique)</t>
  </si>
  <si>
    <t>Recherches pour créer un bouton dynamiquement</t>
  </si>
  <si>
    <t>Intégration dans un code le bouton créé dynamiquement</t>
  </si>
  <si>
    <t>Réfléxion pour savoir comment placer les boutons quand une matière est créée =&gt; Pseudo code et croquis de l'interface sur papier pour avoir moins de difficulté à le coder</t>
  </si>
  <si>
    <t>https://stackoverflow.com/questions/15082432/how-to-create-button-dynamically-in-android</t>
  </si>
  <si>
    <t>(Photo d'un croquis plus propre plus tard)</t>
  </si>
  <si>
    <t>Mise à jour du JDT et push git</t>
  </si>
  <si>
    <t>Congé - Pentecôte</t>
  </si>
  <si>
    <t xml:space="preserve">Récolte des données (Screen size, button size, margin) et recherches pour pouvoir les placer dynamiquement </t>
  </si>
  <si>
    <t>https://danielme.com/tip-android-29-layouts-dinamicos-anadir-vistas-programaticamente/</t>
  </si>
  <si>
    <t>Ajout dynamiquement avec une autre méthode</t>
  </si>
  <si>
    <t>Essais d'ajout de boutons dynamiquement =&gt; fonctionne mais avec une "mauvaise" méthode pour le faire</t>
  </si>
  <si>
    <t>Ajout des boutons dynamiquement mais problème de positionnement quand il y a plusieurs colonnes, la 2ème colonne garde la meme position Y au lieu de revenir en haut</t>
  </si>
  <si>
    <t>https://developer.android.com/reference/android/widget/GridLayout.html</t>
  </si>
  <si>
    <t>Recherche et différents essais pour remettre la 2ème colonne en haut par exemple btn.setGravity ou btn.SetY mais fonctionne pas =&gt; actuellement essais avec un GridLayout</t>
  </si>
  <si>
    <t xml:space="preserve">Mise en forme des boutons, le GridLayout était la solution </t>
  </si>
  <si>
    <t>https://stackoverflow.com/questions/7444703/how-to-set-androidlayout-column-programmatically</t>
  </si>
  <si>
    <t>Mise en forme des boutons pour qu'ils soient adaptés selon la taille de l'écran : Nombre de boutons par colonne, par ligne mais compliqué de faire selon l'orientation du téléphone (orientation paysage)</t>
  </si>
  <si>
    <t xml:space="preserve">Ajouts de commentaires sur le code </t>
  </si>
  <si>
    <t>Recherches pour changer dynamiquement les couleurs du colors.xml depuis le code =&gt; compliqué car dans un XML et apparement pas de méthode pour, je verrai vendredi si c'est possible d'une autre façon</t>
  </si>
  <si>
    <t>Mise à jour du JdT</t>
  </si>
  <si>
    <t>Ajouts des couleurs sur le spinner pour changer de theme, ajout de l'hexadecimal de la couleur + la couleur en plus sombre (Vidéo expliquant le choix de couleurs et site pour les choisir)</t>
  </si>
  <si>
    <t xml:space="preserve">Recherches pour changer dynamiquement les couleurs pour le theme mais rien de concluant c'est beaucoup trop compliqué de changer le XML dynamiquement je n'ai pas les connaissances nécessaire pour le faire. Mais j'ai trouvé une méthode setTheme(), en mettant plusieurs theme dans le styles.xml et en les nommant, je peux choisir le theme voulu. </t>
  </si>
  <si>
    <t>http://www.javarticles.com/2015/04/android-set-theme-dynamically.html</t>
  </si>
  <si>
    <t xml:space="preserve">https://material.io/guidelines/style/color.html
https://material.io/color/#!/?view.left=0&amp;view.right=0
</t>
  </si>
  <si>
    <t>Petit oubli de couleurs, je n'ai pas pris de couleur pour le texte selon le theme et le blanc de base ne va pas bien partout. Je prends la couleur de texte proposée selon les couleurs que j'ai choisi =&gt; plus compliqué que prévu j'ai dû faire beaucoup d'essais avant d'arriver à quelque chose de fonctionnel niveau code.</t>
  </si>
  <si>
    <t>https://material.io/color/#!/?view.left=0&amp;view.right=0
https://teamtreehouse.com/community/actionbar-title-text-color</t>
  </si>
  <si>
    <t>Mise en place du changement du thème selon le choix de l'utilisateur</t>
  </si>
  <si>
    <t>Application qui crash quand on va dans les options =&gt; problème dû au fait que j'instensiais un bouton avant de le créer.</t>
  </si>
  <si>
    <t>Essais pour changer le theme selon le choix de l'utilisateur mais problème au niveau de la variable qui récupère le theme que l'utilisateur veut utiliser. Normalement je fais "setTheme(R.style.redTheme)", redTheme correspondant a un theme que j'ai créé dans style.xml mais à la place de redTheme j'essaye de mettre une variable, ce qui ne fonctionne pas car il veut un identifier</t>
  </si>
  <si>
    <t>https://www.developpez.net/forums/d1709031/java/general-java/java-mobiles/android/probleme-variable-identifier-expected/</t>
  </si>
  <si>
    <t>N'arrivant pas à faire des options pour la couleur dynamiquement dû à un manque de connaissances en Java, j'ai posé la question sur un forum communautaire de programmation et la 2ème réponse m'a permi de faire quelque chose qui fonctionne</t>
  </si>
  <si>
    <t>Ajout des couleurs du titre selon le theme pour avoir un beau rendu, normalement un gros switch  pour comparer les couleurs dans chaque activité et mettre le texte en couleur mais on a peu de thème où le texte est noir Je crée une variable themeTextColor qui contient soit #000000 ou #FFFFFF il suffira de faire simplement un if(themeTextColor == "#000000") et un else pour faire la condition de quelle couleur le texte sera</t>
  </si>
  <si>
    <t>https://mobicodeblog.wordpress.com/2016/09/03/dynamic-theme-switching-in-android-without-activity-restart/</t>
  </si>
  <si>
    <t>Faire en sorte que dès qu'on appuie sur le bouton pour valider le thème ça change le thème partout directement. On a besoin de recharger l'activité sur laquelle on est pour actualiser le thème =&gt; J'ai fais un rechargement manuel de l'activité des options quand on appuie sur valider mais il reste la page d'accueil qu'on ne peut pas changer et l'activité avant d'aller dans les options reste ouverte, on la recharge pas donc le thème reste comme avant le changement, il faut faire retour et réouvrir l'activité 
Besoin de stocker d'une manière autre que BDD le thème (si possible)</t>
  </si>
  <si>
    <t>Medecin de 9h50 à 11h25</t>
  </si>
  <si>
    <t>https://developer.android.com/reference/android/app/Activity.html</t>
  </si>
  <si>
    <t>Essais pour régler le problème de ce matin (ci-dessus) :
- Refresh les autres activités =&gt; fonctionne apparement que si on est sur l'activité à refresh
- Se faire rediriger sur l'activité principale quand on valide les changement =&gt; Mais ça crée une nouvelle activité par dessus l'ancienne, ça ne fait que "cacher" celle qui est pas mise à jour
- finishAffinity() à la place de finishActivity() ce qui ferme toutes les activités ouvertes, puis un startActivity pour ouvrir l'activité principale =&gt; Fonctionne reste plus que stocker le thème</t>
  </si>
  <si>
    <t>Séance de classe</t>
  </si>
  <si>
    <t xml:space="preserve">Apprentissage des SharedPreferences qui permettent de stocker des variables et autre informations </t>
  </si>
  <si>
    <t xml:space="preserve">Mise à jour du JdT </t>
  </si>
  <si>
    <t>Réglages d'un bug sur les options qui font qu'une méthode du SharedPreferences ne fonctionne pas =&gt; il n'était pas au bon endroit dans mon programme faute d'innatention</t>
  </si>
  <si>
    <t>Finition du SharedPreferences il fonctionne donc je crée une méthode pour mettre le théme il suffira juste d'appeler la méthode pour changer le théme au lieu d'ajouter une dizaine de ligne de codes sur chaques activité
Test du bon fonctionnement sur toutes les activités, si je ferme l'application le théme reste le même etc..</t>
  </si>
  <si>
    <t>Ajouts des commentaires sur l'activité des options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</si>
</sst>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s>
  <borders count="5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dashed">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56">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0" fillId="15" borderId="1"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10" fillId="15" borderId="33" xfId="0" applyFont="1" applyFill="1" applyBorder="1" applyAlignment="1" applyProtection="1">
      <alignment horizontal="center" vertical="center" wrapText="1"/>
      <protection locked="0"/>
    </xf>
    <xf numFmtId="0" fontId="20" fillId="15" borderId="33" xfId="0" applyFont="1" applyFill="1" applyBorder="1" applyAlignment="1" applyProtection="1">
      <alignment horizontal="center" vertical="top" wrapText="1"/>
      <protection locked="0"/>
    </xf>
    <xf numFmtId="0" fontId="10" fillId="15" borderId="33" xfId="0" applyFont="1" applyFill="1" applyBorder="1" applyAlignment="1" applyProtection="1">
      <alignment horizontal="left" vertical="top" wrapText="1"/>
      <protection locked="0"/>
    </xf>
    <xf numFmtId="0" fontId="2" fillId="0" borderId="33" xfId="1" applyFill="1" applyBorder="1" applyAlignment="1" applyProtection="1">
      <alignment horizontal="left" vertical="top" wrapText="1"/>
      <protection locked="0"/>
    </xf>
    <xf numFmtId="0" fontId="0" fillId="0" borderId="0" xfId="0" applyAlignment="1">
      <alignment wrapText="1"/>
    </xf>
    <xf numFmtId="0" fontId="10" fillId="12" borderId="32" xfId="0" applyFont="1" applyFill="1" applyBorder="1" applyAlignment="1" applyProtection="1">
      <alignment horizontal="center" vertical="center" wrapText="1"/>
    </xf>
    <xf numFmtId="0" fontId="11" fillId="12" borderId="11" xfId="0" applyFont="1" applyFill="1" applyBorder="1" applyAlignment="1" applyProtection="1">
      <alignment horizontal="left" vertical="top" wrapText="1"/>
    </xf>
    <xf numFmtId="0" fontId="10" fillId="12" borderId="11" xfId="0" applyFont="1" applyFill="1" applyBorder="1" applyAlignment="1" applyProtection="1">
      <alignment horizontal="left" vertical="top" wrapText="1"/>
    </xf>
    <xf numFmtId="0" fontId="10" fillId="0" borderId="48" xfId="0" applyFont="1" applyFill="1" applyBorder="1" applyAlignment="1" applyProtection="1">
      <alignment horizontal="left" vertical="top" wrapText="1"/>
      <protection locked="0"/>
    </xf>
    <xf numFmtId="0" fontId="10" fillId="0" borderId="49" xfId="0" applyFont="1" applyFill="1" applyBorder="1" applyAlignment="1" applyProtection="1">
      <alignment horizontal="left" vertical="top" wrapText="1"/>
      <protection locked="0"/>
    </xf>
    <xf numFmtId="0" fontId="10" fillId="0" borderId="50" xfId="0" applyFont="1" applyFill="1" applyBorder="1" applyAlignment="1" applyProtection="1">
      <alignment horizontal="left" vertical="top" wrapText="1"/>
      <protection locked="0"/>
    </xf>
    <xf numFmtId="0" fontId="10" fillId="0" borderId="51" xfId="0" applyFont="1" applyFill="1" applyBorder="1" applyAlignment="1" applyProtection="1">
      <alignment horizontal="center" vertical="center" wrapText="1"/>
      <protection locked="0"/>
    </xf>
    <xf numFmtId="0" fontId="10" fillId="0" borderId="49" xfId="0" applyFont="1" applyFill="1" applyBorder="1" applyAlignment="1" applyProtection="1">
      <alignment horizontal="center" vertical="center" wrapText="1"/>
      <protection locked="0"/>
    </xf>
    <xf numFmtId="0" fontId="10" fillId="0" borderId="50" xfId="0" applyFont="1" applyFill="1" applyBorder="1" applyAlignment="1" applyProtection="1">
      <alignment horizontal="center" vertical="center" wrapText="1"/>
      <protection locked="0"/>
    </xf>
    <xf numFmtId="0" fontId="10" fillId="0" borderId="52" xfId="0" applyFont="1" applyFill="1" applyBorder="1" applyAlignment="1" applyProtection="1">
      <alignment horizontal="center" vertical="center" wrapText="1"/>
      <protection locked="0"/>
    </xf>
    <xf numFmtId="0" fontId="10" fillId="0" borderId="52" xfId="0" applyFont="1" applyFill="1" applyBorder="1" applyAlignment="1" applyProtection="1">
      <alignment horizontal="left" vertical="top" wrapText="1"/>
      <protection locked="0"/>
    </xf>
    <xf numFmtId="0" fontId="10" fillId="0" borderId="53" xfId="0" applyFont="1" applyFill="1" applyBorder="1" applyAlignment="1" applyProtection="1">
      <alignment horizontal="left" vertical="top" wrapText="1"/>
      <protection locked="0"/>
    </xf>
    <xf numFmtId="0" fontId="2" fillId="0" borderId="48" xfId="1" applyFill="1" applyBorder="1" applyAlignment="1" applyProtection="1">
      <alignment horizontal="left" vertical="top" wrapText="1"/>
      <protection locked="0"/>
    </xf>
    <xf numFmtId="0" fontId="10" fillId="0" borderId="35"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5" xfId="0" applyFont="1" applyFill="1" applyBorder="1" applyAlignment="1" applyProtection="1">
      <alignment horizontal="left" vertical="top" wrapText="1"/>
      <protection locked="0"/>
    </xf>
    <xf numFmtId="0" fontId="10" fillId="0" borderId="54"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stackoverflow.com/questions/7478023/how-to-set-background-color-in-the-xml-layout" TargetMode="External"/><Relationship Id="rId13" Type="http://schemas.openxmlformats.org/officeDocument/2006/relationships/hyperlink" Target="https://material.io/guidelines/style/color.html" TargetMode="External"/><Relationship Id="rId18" Type="http://schemas.openxmlformats.org/officeDocument/2006/relationships/vmlDrawing" Target="../drawings/vmlDrawing4.vml"/><Relationship Id="rId3" Type="http://schemas.openxmlformats.org/officeDocument/2006/relationships/hyperlink" Target="https://www.youtube.com/watch?v=TCJFoExOBUE" TargetMode="External"/><Relationship Id="rId7" Type="http://schemas.openxmlformats.org/officeDocument/2006/relationships/hyperlink" Target="https://www.youtube.com/watch?v=MJ_32Tuuu74" TargetMode="External"/><Relationship Id="rId12" Type="http://schemas.openxmlformats.org/officeDocument/2006/relationships/hyperlink" Target="https://developer.android.com/reference/android/widget/GridLayout.html" TargetMode="External"/><Relationship Id="rId17" Type="http://schemas.openxmlformats.org/officeDocument/2006/relationships/drawing" Target="../drawings/drawing4.xml"/><Relationship Id="rId2" Type="http://schemas.openxmlformats.org/officeDocument/2006/relationships/hyperlink" Target="https://github.com/Wayne121/AGS-GPT-DemoMot/" TargetMode="External"/><Relationship Id="rId16" Type="http://schemas.openxmlformats.org/officeDocument/2006/relationships/printerSettings" Target="../printerSettings/printerSettings4.bin"/><Relationship Id="rId20" Type="http://schemas.openxmlformats.org/officeDocument/2006/relationships/image" Target="../media/image6.emf"/><Relationship Id="rId1" Type="http://schemas.openxmlformats.org/officeDocument/2006/relationships/hyperlink" Target="DemoMot-ags-gpt-ApplicationAndroidJava.docx" TargetMode="External"/><Relationship Id="rId6" Type="http://schemas.openxmlformats.org/officeDocument/2006/relationships/hyperlink" Target="AppTest1.png" TargetMode="External"/><Relationship Id="rId11" Type="http://schemas.openxmlformats.org/officeDocument/2006/relationships/hyperlink" Target="https://stackoverflow.com/questions/7444703/how-to-set-androidlayout-column-programmatically" TargetMode="External"/><Relationship Id="rId5" Type="http://schemas.openxmlformats.org/officeDocument/2006/relationships/hyperlink" Target="celtofah.png" TargetMode="External"/><Relationship Id="rId15" Type="http://schemas.openxmlformats.org/officeDocument/2006/relationships/hyperlink" Target="https://www.developpez.net/forums/d1709031/java/general-java/java-mobiles/android/probleme-variable-identifier-expected/" TargetMode="External"/><Relationship Id="rId10" Type="http://schemas.openxmlformats.org/officeDocument/2006/relationships/hyperlink" Target="https://danielme.com/tip-android-29-layouts-dinamicos-anadir-vistas-programaticamente/" TargetMode="External"/><Relationship Id="rId19" Type="http://schemas.openxmlformats.org/officeDocument/2006/relationships/control" Target="../activeX/activeX6.xml"/><Relationship Id="rId4" Type="http://schemas.openxmlformats.org/officeDocument/2006/relationships/hyperlink" Target="http://www.programcreek.com/java-api-examples/android.view.View.OnKeyListener" TargetMode="External"/><Relationship Id="rId9" Type="http://schemas.openxmlformats.org/officeDocument/2006/relationships/hyperlink" Target="https://stackoverflow.com/questions/15082432/how-to-create-button-dynamically-in-android" TargetMode="External"/><Relationship Id="rId14" Type="http://schemas.openxmlformats.org/officeDocument/2006/relationships/hyperlink" Target="https://material.io/color/"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7" zoomScaleNormal="100" workbookViewId="0">
      <selection activeCell="C36" sqref="C36"/>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45" t="s">
        <v>19</v>
      </c>
      <c r="C19" s="146"/>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t="s">
        <v>96</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47" t="s">
        <v>41</v>
      </c>
      <c r="E2" s="148"/>
      <c r="F2" s="148"/>
      <c r="G2" s="148"/>
      <c r="H2" s="148"/>
      <c r="I2" s="148"/>
      <c r="J2" s="148"/>
      <c r="K2" s="148"/>
      <c r="L2" s="148"/>
      <c r="M2" s="148"/>
      <c r="N2" s="148"/>
      <c r="O2" s="148"/>
      <c r="P2" s="148"/>
      <c r="Q2" s="148"/>
      <c r="R2" s="148"/>
      <c r="S2" s="148"/>
      <c r="T2" s="148"/>
      <c r="U2" s="148"/>
      <c r="V2" s="148"/>
      <c r="W2" s="148"/>
      <c r="X2" s="148"/>
      <c r="Y2" s="148"/>
      <c r="Z2" s="148"/>
      <c r="AA2" s="148"/>
      <c r="AB2" s="148"/>
      <c r="AC2" s="148"/>
      <c r="AD2" s="148"/>
      <c r="AE2" s="148"/>
      <c r="AF2" s="148"/>
      <c r="AG2" s="148"/>
      <c r="AH2" s="148"/>
      <c r="AI2" s="148"/>
      <c r="AJ2" s="148"/>
      <c r="AK2" s="148"/>
      <c r="AL2" s="148"/>
      <c r="AM2" s="148"/>
      <c r="AN2" s="148"/>
      <c r="AO2" s="148"/>
      <c r="AP2" s="148"/>
      <c r="AQ2" s="148"/>
      <c r="AR2" s="148"/>
      <c r="AS2" s="148"/>
      <c r="AT2" s="148"/>
      <c r="AU2" s="148"/>
      <c r="AV2" s="148"/>
      <c r="AW2" s="148"/>
      <c r="AX2" s="148"/>
      <c r="AY2" s="148"/>
      <c r="AZ2" s="148"/>
      <c r="BA2" s="148"/>
      <c r="BB2" s="148"/>
      <c r="BC2" s="148"/>
      <c r="BD2" s="148"/>
      <c r="BE2" s="148"/>
      <c r="BF2" s="148"/>
      <c r="BG2" s="148"/>
      <c r="BH2" s="148"/>
      <c r="BI2" s="148"/>
      <c r="BJ2" s="148"/>
      <c r="BK2" s="148"/>
      <c r="BL2" s="148"/>
      <c r="BM2" s="148"/>
      <c r="BN2" s="148"/>
      <c r="BO2" s="148"/>
      <c r="BP2" s="148"/>
      <c r="BQ2" s="148"/>
      <c r="BR2" s="148"/>
      <c r="BS2" s="148"/>
      <c r="BT2" s="148"/>
      <c r="BU2" s="148"/>
      <c r="BV2" s="148"/>
      <c r="BW2" s="148"/>
      <c r="BX2" s="148"/>
      <c r="BY2" s="148"/>
      <c r="BZ2" s="148"/>
      <c r="CA2" s="148"/>
      <c r="CB2" s="148"/>
      <c r="CC2" s="148"/>
      <c r="CD2" s="148"/>
      <c r="CE2" s="148"/>
      <c r="CF2" s="148"/>
      <c r="CG2" s="148"/>
      <c r="CH2" s="148"/>
      <c r="CI2" s="148"/>
      <c r="CJ2" s="148"/>
      <c r="CK2" s="148"/>
      <c r="CL2" s="148"/>
      <c r="CM2" s="148"/>
      <c r="CN2" s="148"/>
      <c r="CO2" s="149"/>
      <c r="CP2" s="147" t="s">
        <v>42</v>
      </c>
      <c r="CQ2" s="148"/>
      <c r="CR2" s="148"/>
      <c r="CS2" s="148"/>
      <c r="CT2" s="148"/>
      <c r="CU2" s="148"/>
      <c r="CV2" s="148"/>
      <c r="CW2" s="148"/>
      <c r="CX2" s="148"/>
      <c r="CY2" s="148"/>
      <c r="CZ2" s="148"/>
      <c r="DA2" s="148"/>
      <c r="DB2" s="148"/>
      <c r="DC2" s="148"/>
      <c r="DD2" s="148"/>
      <c r="DE2" s="148"/>
      <c r="DF2" s="148"/>
      <c r="DG2" s="148"/>
      <c r="DH2" s="148"/>
      <c r="DI2" s="148"/>
      <c r="DJ2" s="148"/>
      <c r="DK2" s="148"/>
      <c r="DL2" s="148"/>
      <c r="DM2" s="148"/>
      <c r="DN2" s="148"/>
      <c r="DO2" s="148"/>
      <c r="DP2" s="148"/>
      <c r="DQ2" s="148"/>
      <c r="DR2" s="148"/>
      <c r="DS2" s="148"/>
      <c r="DT2" s="148"/>
      <c r="DU2" s="148"/>
      <c r="DV2" s="148"/>
      <c r="DW2" s="148"/>
      <c r="DX2" s="148"/>
      <c r="DY2" s="148"/>
      <c r="DZ2" s="148"/>
      <c r="EA2" s="148"/>
      <c r="EB2" s="148"/>
      <c r="EC2" s="148"/>
      <c r="ED2" s="148"/>
      <c r="EE2" s="148"/>
      <c r="EF2" s="148"/>
      <c r="EG2" s="148"/>
      <c r="EH2" s="148"/>
      <c r="EI2" s="148"/>
      <c r="EJ2" s="148"/>
      <c r="EK2" s="148"/>
      <c r="EL2" s="148"/>
      <c r="EM2" s="148"/>
      <c r="EN2" s="148"/>
      <c r="EO2" s="148"/>
      <c r="EP2" s="148"/>
      <c r="EQ2" s="148"/>
      <c r="ER2" s="148"/>
      <c r="ES2" s="148"/>
      <c r="ET2" s="148"/>
      <c r="EU2" s="148"/>
      <c r="EV2" s="148"/>
      <c r="EW2" s="148"/>
      <c r="EX2" s="148"/>
      <c r="EY2" s="148"/>
      <c r="EZ2" s="148"/>
      <c r="FA2" s="148"/>
      <c r="FB2" s="148"/>
      <c r="FC2" s="148"/>
      <c r="FD2" s="148"/>
      <c r="FE2" s="148"/>
      <c r="FF2" s="148"/>
      <c r="FG2" s="148"/>
      <c r="FH2" s="148"/>
      <c r="FI2" s="148"/>
      <c r="FJ2" s="148"/>
      <c r="FK2" s="148"/>
      <c r="FL2" s="148"/>
      <c r="FM2" s="148"/>
      <c r="FN2" s="148"/>
      <c r="FO2" s="148"/>
      <c r="FP2" s="148"/>
      <c r="FQ2" s="148"/>
      <c r="FR2" s="148"/>
      <c r="FS2" s="148"/>
      <c r="FT2" s="148"/>
      <c r="FU2" s="148"/>
      <c r="FV2" s="148"/>
      <c r="FW2" s="148"/>
      <c r="FX2" s="148"/>
      <c r="FY2" s="148"/>
      <c r="FZ2" s="148"/>
      <c r="GA2" s="149"/>
      <c r="GB2" s="147" t="s">
        <v>43</v>
      </c>
      <c r="GC2" s="148"/>
      <c r="GD2" s="148"/>
      <c r="GE2" s="148"/>
      <c r="GF2" s="148"/>
      <c r="GG2" s="148"/>
      <c r="GH2" s="148"/>
      <c r="GI2" s="148"/>
      <c r="GJ2" s="148"/>
      <c r="GK2" s="148"/>
      <c r="GL2" s="148"/>
      <c r="GM2" s="148"/>
      <c r="GN2" s="148"/>
      <c r="GO2" s="148"/>
      <c r="GP2" s="148"/>
      <c r="GQ2" s="148"/>
      <c r="GR2" s="148"/>
      <c r="GS2" s="148"/>
      <c r="GT2" s="148"/>
      <c r="GU2" s="148"/>
      <c r="GV2" s="148"/>
      <c r="GW2" s="148"/>
      <c r="GX2" s="148"/>
      <c r="GY2" s="148"/>
      <c r="GZ2" s="148"/>
      <c r="HA2" s="148"/>
      <c r="HB2" s="148"/>
      <c r="HC2" s="148"/>
      <c r="HD2" s="148"/>
      <c r="HE2" s="148"/>
      <c r="HF2" s="148"/>
      <c r="HG2" s="148"/>
      <c r="HH2" s="148"/>
      <c r="HI2" s="148"/>
      <c r="HJ2" s="148"/>
      <c r="HK2" s="148"/>
      <c r="HL2" s="148"/>
      <c r="HM2" s="148"/>
      <c r="HN2" s="148"/>
      <c r="HO2" s="148"/>
      <c r="HP2" s="148"/>
      <c r="HQ2" s="148"/>
      <c r="HR2" s="148"/>
      <c r="HS2" s="148"/>
      <c r="HT2" s="148"/>
      <c r="HU2" s="148"/>
      <c r="HV2" s="148"/>
      <c r="HW2" s="148"/>
      <c r="HX2" s="148"/>
      <c r="HY2" s="148"/>
      <c r="HZ2" s="148"/>
      <c r="IA2" s="148"/>
      <c r="IB2" s="148"/>
      <c r="IC2" s="148"/>
      <c r="ID2" s="148"/>
      <c r="IE2" s="148"/>
      <c r="IF2" s="148"/>
      <c r="IG2" s="148"/>
      <c r="IH2" s="148"/>
      <c r="II2" s="148"/>
      <c r="IJ2" s="148"/>
      <c r="IK2" s="148"/>
      <c r="IL2" s="148"/>
      <c r="IM2" s="148"/>
      <c r="IN2" s="148"/>
      <c r="IO2" s="148"/>
      <c r="IP2" s="148"/>
      <c r="IQ2" s="148"/>
      <c r="IR2" s="148"/>
      <c r="IS2" s="148"/>
      <c r="IT2" s="148"/>
      <c r="IU2" s="148"/>
      <c r="IV2" s="148"/>
      <c r="IW2" s="148"/>
      <c r="IX2" s="148"/>
      <c r="IY2" s="148"/>
      <c r="IZ2" s="148"/>
      <c r="JA2" s="148"/>
      <c r="JB2" s="148"/>
      <c r="JC2" s="148"/>
      <c r="JD2" s="148"/>
      <c r="JE2" s="148"/>
      <c r="JF2" s="148"/>
      <c r="JG2" s="148"/>
      <c r="JH2" s="148"/>
      <c r="JI2" s="148"/>
      <c r="JJ2" s="148"/>
      <c r="JK2" s="148"/>
      <c r="JL2" s="148"/>
      <c r="JM2" s="149"/>
      <c r="JN2" s="147" t="s">
        <v>44</v>
      </c>
      <c r="JO2" s="148"/>
      <c r="JP2" s="148"/>
      <c r="JQ2" s="148"/>
      <c r="JR2" s="148"/>
      <c r="JS2" s="148"/>
      <c r="JT2" s="148"/>
      <c r="JU2" s="148"/>
      <c r="JV2" s="148"/>
      <c r="JW2" s="148"/>
      <c r="JX2" s="148"/>
      <c r="JY2" s="148"/>
      <c r="JZ2" s="148"/>
      <c r="KA2" s="148"/>
      <c r="KB2" s="148"/>
      <c r="KC2" s="148"/>
      <c r="KD2" s="148"/>
      <c r="KE2" s="148"/>
      <c r="KF2" s="148"/>
      <c r="KG2" s="148"/>
      <c r="KH2" s="148"/>
      <c r="KI2" s="148"/>
      <c r="KJ2" s="148"/>
      <c r="KK2" s="148"/>
      <c r="KL2" s="148"/>
      <c r="KM2" s="148"/>
      <c r="KN2" s="148"/>
      <c r="KO2" s="148"/>
      <c r="KP2" s="148"/>
      <c r="KQ2" s="148"/>
      <c r="KR2" s="148"/>
      <c r="KS2" s="148"/>
      <c r="KT2" s="148"/>
      <c r="KU2" s="148"/>
      <c r="KV2" s="148"/>
      <c r="KW2" s="148"/>
      <c r="KX2" s="148"/>
      <c r="KY2" s="148"/>
      <c r="KZ2" s="148"/>
      <c r="LA2" s="148"/>
      <c r="LB2" s="148"/>
      <c r="LC2" s="148"/>
      <c r="LD2" s="148"/>
      <c r="LE2" s="148"/>
      <c r="LF2" s="148"/>
      <c r="LG2" s="148"/>
      <c r="LH2" s="148"/>
      <c r="LI2" s="148"/>
      <c r="LJ2" s="148"/>
      <c r="LK2" s="148"/>
      <c r="LL2" s="148"/>
      <c r="LM2" s="148"/>
      <c r="LN2" s="148"/>
      <c r="LO2" s="148"/>
      <c r="LP2" s="148"/>
      <c r="LQ2" s="148"/>
      <c r="LR2" s="148"/>
      <c r="LS2" s="148"/>
      <c r="LT2" s="148"/>
      <c r="LU2" s="148"/>
      <c r="LV2" s="148"/>
      <c r="LW2" s="148"/>
      <c r="LX2" s="148"/>
      <c r="LY2" s="148"/>
      <c r="LZ2" s="148"/>
      <c r="MA2" s="148"/>
      <c r="MB2" s="148"/>
      <c r="MC2" s="148"/>
      <c r="MD2" s="148"/>
      <c r="ME2" s="148"/>
      <c r="MF2" s="148"/>
      <c r="MG2" s="148"/>
      <c r="MH2" s="148"/>
      <c r="MI2" s="148"/>
      <c r="MJ2" s="148"/>
      <c r="MK2" s="148"/>
      <c r="ML2" s="148"/>
      <c r="MM2" s="148"/>
      <c r="MN2" s="148"/>
      <c r="MO2" s="148"/>
      <c r="MP2" s="148"/>
      <c r="MQ2" s="148"/>
      <c r="MR2" s="148"/>
      <c r="MS2" s="148"/>
      <c r="MT2" s="148"/>
      <c r="MU2" s="148"/>
      <c r="MV2" s="148"/>
      <c r="MW2" s="148"/>
      <c r="MX2" s="148"/>
      <c r="MY2" s="149"/>
    </row>
    <row r="3" spans="1:363" ht="19.5" customHeight="1" x14ac:dyDescent="0.2">
      <c r="A3" s="88"/>
      <c r="B3" s="152" t="s">
        <v>21</v>
      </c>
      <c r="C3" s="30">
        <v>0</v>
      </c>
      <c r="D3" s="89"/>
      <c r="E3" s="90"/>
      <c r="F3" s="91"/>
      <c r="G3" s="92"/>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91"/>
      <c r="CS3" s="92"/>
      <c r="CT3" s="90"/>
      <c r="CU3" s="91"/>
      <c r="CV3" s="92"/>
      <c r="CW3" s="90"/>
      <c r="CX3" s="91"/>
      <c r="CY3" s="92"/>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92"/>
      <c r="KA3" s="90"/>
      <c r="KB3" s="91"/>
      <c r="KC3" s="92"/>
      <c r="KD3" s="90"/>
      <c r="KE3" s="91"/>
      <c r="KF3" s="92"/>
      <c r="KG3" s="90"/>
      <c r="KH3" s="91"/>
      <c r="KI3" s="92"/>
      <c r="KJ3" s="90"/>
      <c r="KK3" s="91"/>
      <c r="KL3" s="92"/>
      <c r="KM3" s="90"/>
      <c r="KN3" s="91"/>
      <c r="KO3" s="92"/>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53"/>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54" t="str">
        <f>Donnees!$C$21</f>
        <v>Découverte du programme</v>
      </c>
      <c r="C5" s="99">
        <v>0</v>
      </c>
      <c r="D5" s="89"/>
      <c r="E5" s="90"/>
      <c r="F5" s="91"/>
      <c r="G5" s="92"/>
      <c r="H5" s="90"/>
      <c r="I5" s="91"/>
      <c r="J5" s="92"/>
      <c r="K5" s="90"/>
      <c r="L5" s="91"/>
      <c r="M5" s="92"/>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51"/>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50"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51"/>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50" t="str">
        <f>Donnees!$C$23</f>
        <v>Création de l'application</v>
      </c>
      <c r="C9" s="99">
        <v>0</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51"/>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50" t="str">
        <f>Donnees!$C$24</f>
        <v>Création des options</v>
      </c>
      <c r="C11" s="99">
        <v>0</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51"/>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50"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51"/>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50"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51"/>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50" t="str">
        <f>Donnees!$C$27</f>
        <v>Insertion Module, notes</v>
      </c>
      <c r="C17" s="99">
        <v>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51"/>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50" t="str">
        <f>Donnees!$C$28</f>
        <v>Calcule automatique des moyennes</v>
      </c>
      <c r="C19" s="99">
        <v>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51"/>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50" t="str">
        <f>Donnees!$C$29</f>
        <v>Affichage des résultats</v>
      </c>
      <c r="C21" s="99">
        <v>0</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51"/>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50"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51"/>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50"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51"/>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50" t="str">
        <f>Donnees!$C$32</f>
        <v>Test</v>
      </c>
      <c r="C27" s="99">
        <v>0</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89"/>
      <c r="GC27" s="90"/>
      <c r="GD27" s="91"/>
      <c r="GE27" s="92"/>
      <c r="GF27" s="90"/>
      <c r="GG27" s="91"/>
      <c r="GH27" s="92"/>
      <c r="GI27" s="90"/>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92"/>
      <c r="IN27" s="90"/>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51"/>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50" t="str">
        <f>Donnees!$C$33</f>
        <v>Réparation des bugs</v>
      </c>
      <c r="C29" s="99">
        <v>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51"/>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50" t="str">
        <f>Donnees!$C$34</f>
        <v>Documentation</v>
      </c>
      <c r="C31" s="99">
        <v>0</v>
      </c>
      <c r="D31" s="89"/>
      <c r="E31" s="90"/>
      <c r="F31" s="91"/>
      <c r="G31" s="92"/>
      <c r="H31" s="90"/>
      <c r="I31" s="91"/>
      <c r="J31" s="92"/>
      <c r="K31" s="90"/>
      <c r="L31" s="91"/>
      <c r="M31" s="92"/>
      <c r="N31" s="90"/>
      <c r="O31" s="91"/>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3"/>
      <c r="GB31" s="89"/>
      <c r="GC31" s="90"/>
      <c r="GD31" s="91"/>
      <c r="GE31" s="92"/>
      <c r="GF31" s="90"/>
      <c r="GG31" s="91"/>
      <c r="GH31" s="92"/>
      <c r="GI31" s="90"/>
      <c r="GJ31" s="91"/>
      <c r="GK31" s="92"/>
      <c r="GL31" s="90"/>
      <c r="GM31" s="91"/>
      <c r="GN31" s="92"/>
      <c r="GO31" s="90"/>
      <c r="GP31" s="91"/>
      <c r="GQ31" s="92"/>
      <c r="GR31" s="90"/>
      <c r="GS31" s="91"/>
      <c r="GT31" s="92"/>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3"/>
      <c r="JN31" s="89"/>
      <c r="JO31" s="90"/>
      <c r="JP31" s="91"/>
      <c r="JQ31" s="92"/>
      <c r="JR31" s="90"/>
      <c r="JS31" s="91"/>
      <c r="JT31" s="92"/>
      <c r="JU31" s="90"/>
      <c r="JV31" s="91"/>
      <c r="JW31" s="92"/>
      <c r="JX31" s="90"/>
      <c r="JY31" s="91"/>
      <c r="JZ31" s="92"/>
      <c r="KA31" s="90"/>
      <c r="KB31" s="91"/>
      <c r="KC31" s="92"/>
      <c r="KD31" s="90"/>
      <c r="KE31" s="91"/>
      <c r="KF31" s="92"/>
      <c r="KG31" s="90"/>
      <c r="KH31" s="91"/>
      <c r="KI31" s="92"/>
      <c r="KJ31" s="90"/>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51"/>
      <c r="C32" s="100">
        <v>0</v>
      </c>
      <c r="D32" s="94"/>
      <c r="E32" s="95"/>
      <c r="F32" s="96"/>
      <c r="G32" s="97"/>
      <c r="H32" s="95"/>
      <c r="I32" s="96"/>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50" t="str">
        <f>Donnees!$C$35</f>
        <v>Journal de travail</v>
      </c>
      <c r="C33" s="99">
        <v>0</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3"/>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3"/>
      <c r="GB33" s="89"/>
      <c r="GC33" s="90"/>
      <c r="GD33" s="91"/>
      <c r="GE33" s="92"/>
      <c r="GF33" s="90"/>
      <c r="GG33" s="91"/>
      <c r="GH33" s="92"/>
      <c r="GI33" s="90"/>
      <c r="GJ33" s="91"/>
      <c r="GK33" s="92"/>
      <c r="GL33" s="90"/>
      <c r="GM33" s="91"/>
      <c r="GN33" s="92"/>
      <c r="GO33" s="90"/>
      <c r="GP33" s="91"/>
      <c r="GQ33" s="92"/>
      <c r="GR33" s="90"/>
      <c r="GS33" s="91"/>
      <c r="GT33" s="92"/>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3"/>
      <c r="JN33" s="89"/>
      <c r="JO33" s="90"/>
      <c r="JP33" s="91"/>
      <c r="JQ33" s="92"/>
      <c r="JR33" s="90"/>
      <c r="JS33" s="91"/>
      <c r="JT33" s="92"/>
      <c r="JU33" s="90"/>
      <c r="JV33" s="91"/>
      <c r="JW33" s="92"/>
      <c r="JX33" s="90"/>
      <c r="JY33" s="91"/>
      <c r="JZ33" s="92"/>
      <c r="KA33" s="90"/>
      <c r="KB33" s="91"/>
      <c r="KC33" s="92"/>
      <c r="KD33" s="90"/>
      <c r="KE33" s="91"/>
      <c r="KF33" s="92"/>
      <c r="KG33" s="90"/>
      <c r="KH33" s="91"/>
      <c r="KI33" s="92"/>
      <c r="KJ33" s="90"/>
      <c r="KK33" s="91"/>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51"/>
      <c r="C34" s="100">
        <v>0</v>
      </c>
      <c r="D34" s="94"/>
      <c r="E34" s="95"/>
      <c r="F34" s="96"/>
      <c r="G34" s="97"/>
      <c r="H34" s="95"/>
      <c r="I34" s="96"/>
      <c r="J34" s="97"/>
      <c r="K34" s="95"/>
      <c r="L34" s="96"/>
      <c r="M34" s="97"/>
      <c r="N34" s="95"/>
      <c r="O34" s="96"/>
      <c r="P34" s="97"/>
      <c r="Q34" s="95"/>
      <c r="R34" s="96"/>
      <c r="S34" s="97"/>
      <c r="T34" s="95"/>
      <c r="U34" s="96"/>
      <c r="V34" s="97"/>
      <c r="W34" s="95"/>
      <c r="X34" s="96"/>
      <c r="Y34" s="97"/>
      <c r="Z34" s="95"/>
      <c r="AA34" s="96"/>
      <c r="AB34" s="97"/>
      <c r="AC34" s="95"/>
      <c r="AD34" s="96"/>
      <c r="AE34" s="97"/>
      <c r="AF34" s="95"/>
      <c r="AG34" s="96"/>
      <c r="AH34" s="97"/>
      <c r="AI34" s="95"/>
      <c r="AJ34" s="96"/>
      <c r="AK34" s="97"/>
      <c r="AL34" s="95"/>
      <c r="AM34" s="96"/>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8"/>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0</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insertRows="0" selectLockedCells="1"/>
  <mergeCells count="20">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 ref="GB2:JM2"/>
    <mergeCell ref="JN2:MY2"/>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52" t="s">
        <v>21</v>
      </c>
      <c r="C3" s="30">
        <v>0</v>
      </c>
    </row>
    <row r="4" spans="1:4" ht="19.5" customHeight="1" x14ac:dyDescent="0.2">
      <c r="A4" s="34"/>
      <c r="B4" s="155"/>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18"/>
  <sheetViews>
    <sheetView tabSelected="1" view="pageBreakPreview" topLeftCell="A91" zoomScale="115" zoomScaleNormal="100" zoomScaleSheetLayoutView="115" workbookViewId="0">
      <selection activeCell="C93" sqref="C9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108"/>
      <c r="B3" s="109"/>
      <c r="C3" s="110" t="s">
        <v>52</v>
      </c>
      <c r="D3" s="121"/>
    </row>
    <row r="4" spans="1:4" s="81" customFormat="1" ht="38.25" x14ac:dyDescent="0.2">
      <c r="A4" s="5" t="s">
        <v>27</v>
      </c>
      <c r="B4" s="6">
        <v>6</v>
      </c>
      <c r="C4" s="14" t="s">
        <v>62</v>
      </c>
      <c r="D4" s="122" t="s">
        <v>63</v>
      </c>
    </row>
    <row r="5" spans="1:4" s="81" customFormat="1" ht="40.5" x14ac:dyDescent="0.2">
      <c r="A5" s="5" t="s">
        <v>27</v>
      </c>
      <c r="B5" s="6">
        <v>2</v>
      </c>
      <c r="C5" s="14" t="s">
        <v>68</v>
      </c>
      <c r="D5" s="14"/>
    </row>
    <row r="6" spans="1:4" s="81" customFormat="1" ht="13.5" x14ac:dyDescent="0.2">
      <c r="A6" s="5" t="s">
        <v>27</v>
      </c>
      <c r="B6" s="6">
        <v>1</v>
      </c>
      <c r="C6" s="14" t="s">
        <v>64</v>
      </c>
      <c r="D6" s="122" t="s">
        <v>65</v>
      </c>
    </row>
    <row r="7" spans="1:4" s="81" customFormat="1" ht="27" x14ac:dyDescent="0.2">
      <c r="A7" s="5" t="s">
        <v>38</v>
      </c>
      <c r="B7" s="6">
        <v>3</v>
      </c>
      <c r="C7" s="14" t="s">
        <v>67</v>
      </c>
      <c r="D7" s="122" t="s">
        <v>66</v>
      </c>
    </row>
    <row r="8" spans="1:4" s="81" customFormat="1" ht="13.5" x14ac:dyDescent="0.2">
      <c r="A8" s="5"/>
      <c r="B8" s="6"/>
      <c r="C8" s="14"/>
      <c r="D8" s="14"/>
    </row>
    <row r="9" spans="1:4" s="81" customFormat="1" ht="13.5" x14ac:dyDescent="0.2">
      <c r="A9" s="5" t="s">
        <v>21</v>
      </c>
      <c r="B9" s="6">
        <v>2</v>
      </c>
      <c r="C9" s="14" t="s">
        <v>73</v>
      </c>
      <c r="D9" s="122"/>
    </row>
    <row r="10" spans="1:4" s="81" customFormat="1" ht="13.5" x14ac:dyDescent="0.2">
      <c r="A10" s="5" t="s">
        <v>29</v>
      </c>
      <c r="B10" s="6">
        <v>4</v>
      </c>
      <c r="C10" s="14" t="s">
        <v>69</v>
      </c>
      <c r="D10" s="122" t="s">
        <v>70</v>
      </c>
    </row>
    <row r="11" spans="1:4" s="81" customFormat="1" ht="27" x14ac:dyDescent="0.2">
      <c r="A11" s="5" t="s">
        <v>28</v>
      </c>
      <c r="B11" s="6">
        <v>2</v>
      </c>
      <c r="C11" s="14" t="s">
        <v>74</v>
      </c>
      <c r="D11" s="14"/>
    </row>
    <row r="12" spans="1:4" s="81" customFormat="1" ht="27" x14ac:dyDescent="0.2">
      <c r="A12" s="5" t="s">
        <v>29</v>
      </c>
      <c r="B12" s="6">
        <v>2</v>
      </c>
      <c r="C12" s="14" t="s">
        <v>72</v>
      </c>
      <c r="D12" s="122" t="s">
        <v>71</v>
      </c>
    </row>
    <row r="13" spans="1:4" s="81" customFormat="1" ht="14.25" thickBot="1" x14ac:dyDescent="0.25">
      <c r="A13" s="6" t="s">
        <v>38</v>
      </c>
      <c r="B13" s="6">
        <v>2</v>
      </c>
      <c r="C13" s="14" t="s">
        <v>75</v>
      </c>
      <c r="D13" s="14"/>
    </row>
    <row r="14" spans="1:4" s="81" customFormat="1" ht="13.5" x14ac:dyDescent="0.2">
      <c r="A14" s="108"/>
      <c r="B14" s="109"/>
      <c r="C14" s="110" t="s">
        <v>48</v>
      </c>
      <c r="D14" s="121"/>
    </row>
    <row r="15" spans="1:4" s="81" customFormat="1" ht="54" x14ac:dyDescent="0.2">
      <c r="A15" s="79" t="s">
        <v>28</v>
      </c>
      <c r="B15" s="79">
        <v>4</v>
      </c>
      <c r="C15" s="80" t="s">
        <v>78</v>
      </c>
      <c r="D15" s="126" t="s">
        <v>77</v>
      </c>
    </row>
    <row r="16" spans="1:4" s="81" customFormat="1" ht="27" x14ac:dyDescent="0.2">
      <c r="A16" s="79" t="s">
        <v>28</v>
      </c>
      <c r="B16" s="79">
        <v>3</v>
      </c>
      <c r="C16" s="80" t="s">
        <v>76</v>
      </c>
      <c r="D16" s="126" t="s">
        <v>90</v>
      </c>
    </row>
    <row r="17" spans="1:4" s="81" customFormat="1" ht="13.5" x14ac:dyDescent="0.2">
      <c r="A17" s="79" t="s">
        <v>29</v>
      </c>
      <c r="B17" s="79">
        <v>2</v>
      </c>
      <c r="C17" s="80" t="s">
        <v>79</v>
      </c>
      <c r="D17" s="126" t="s">
        <v>89</v>
      </c>
    </row>
    <row r="18" spans="1:4" s="81" customFormat="1" ht="27" x14ac:dyDescent="0.2">
      <c r="A18" s="79" t="s">
        <v>28</v>
      </c>
      <c r="B18" s="79">
        <v>2</v>
      </c>
      <c r="C18" s="80" t="s">
        <v>81</v>
      </c>
      <c r="D18" s="80"/>
    </row>
    <row r="19" spans="1:4" s="81" customFormat="1" ht="13.5" x14ac:dyDescent="0.2">
      <c r="A19" s="79" t="s">
        <v>38</v>
      </c>
      <c r="B19" s="79">
        <v>1</v>
      </c>
      <c r="C19" s="80" t="s">
        <v>80</v>
      </c>
      <c r="D19" s="80"/>
    </row>
    <row r="20" spans="1:4" s="81" customFormat="1" ht="13.5" x14ac:dyDescent="0.2">
      <c r="A20" s="123"/>
      <c r="B20" s="123"/>
      <c r="C20" s="124" t="s">
        <v>49</v>
      </c>
      <c r="D20" s="125"/>
    </row>
    <row r="21" spans="1:4" s="81" customFormat="1" ht="27" x14ac:dyDescent="0.2">
      <c r="A21" s="79" t="s">
        <v>28</v>
      </c>
      <c r="B21" s="79">
        <v>2</v>
      </c>
      <c r="C21" s="80" t="s">
        <v>82</v>
      </c>
      <c r="D21" s="80"/>
    </row>
    <row r="22" spans="1:4" s="81" customFormat="1" ht="27" x14ac:dyDescent="0.2">
      <c r="A22" s="79" t="s">
        <v>28</v>
      </c>
      <c r="B22" s="79">
        <v>3</v>
      </c>
      <c r="C22" s="80" t="s">
        <v>83</v>
      </c>
      <c r="D22" s="80" t="s">
        <v>84</v>
      </c>
    </row>
    <row r="23" spans="1:4" s="81" customFormat="1" ht="27" x14ac:dyDescent="0.2">
      <c r="A23" s="79" t="s">
        <v>28</v>
      </c>
      <c r="B23" s="79">
        <v>3</v>
      </c>
      <c r="C23" s="80" t="s">
        <v>86</v>
      </c>
      <c r="D23" s="126" t="s">
        <v>85</v>
      </c>
    </row>
    <row r="24" spans="1:4" s="81" customFormat="1" ht="40.5" x14ac:dyDescent="0.2">
      <c r="A24" s="79" t="s">
        <v>28</v>
      </c>
      <c r="B24" s="79">
        <v>3</v>
      </c>
      <c r="C24" s="80" t="s">
        <v>87</v>
      </c>
      <c r="D24" s="80"/>
    </row>
    <row r="25" spans="1:4" s="81" customFormat="1" ht="38.25" x14ac:dyDescent="0.2">
      <c r="A25" s="79" t="s">
        <v>29</v>
      </c>
      <c r="B25" s="79">
        <v>3</v>
      </c>
      <c r="C25" s="80" t="s">
        <v>91</v>
      </c>
      <c r="D25" s="127" t="s">
        <v>92</v>
      </c>
    </row>
    <row r="26" spans="1:4" s="81" customFormat="1" ht="13.5" x14ac:dyDescent="0.2">
      <c r="A26" s="79" t="s">
        <v>38</v>
      </c>
      <c r="B26" s="79">
        <v>1</v>
      </c>
      <c r="C26" s="80" t="s">
        <v>88</v>
      </c>
      <c r="D26" s="80"/>
    </row>
    <row r="27" spans="1:4" s="81" customFormat="1" ht="13.5" x14ac:dyDescent="0.2">
      <c r="A27" s="79"/>
      <c r="B27" s="79"/>
      <c r="C27" s="80"/>
      <c r="D27" s="80"/>
    </row>
    <row r="28" spans="1:4" s="81" customFormat="1" ht="27" x14ac:dyDescent="0.2">
      <c r="A28" s="79" t="s">
        <v>28</v>
      </c>
      <c r="B28" s="79">
        <v>4</v>
      </c>
      <c r="C28" s="80" t="s">
        <v>93</v>
      </c>
      <c r="D28" s="80"/>
    </row>
    <row r="29" spans="1:4" s="81" customFormat="1" ht="27" x14ac:dyDescent="0.2">
      <c r="A29" s="79" t="s">
        <v>28</v>
      </c>
      <c r="B29" s="79">
        <v>3</v>
      </c>
      <c r="C29" s="80" t="s">
        <v>94</v>
      </c>
      <c r="D29" s="80"/>
    </row>
    <row r="30" spans="1:4" s="81" customFormat="1" ht="13.5" x14ac:dyDescent="0.2">
      <c r="A30" s="79" t="s">
        <v>96</v>
      </c>
      <c r="B30" s="79">
        <v>5</v>
      </c>
      <c r="C30" s="80" t="s">
        <v>95</v>
      </c>
      <c r="D30" s="80"/>
    </row>
    <row r="31" spans="1:4" s="81" customFormat="1" ht="13.5" x14ac:dyDescent="0.2">
      <c r="A31" s="123"/>
      <c r="B31" s="123"/>
      <c r="C31" s="124" t="s">
        <v>50</v>
      </c>
      <c r="D31" s="125"/>
    </row>
    <row r="32" spans="1:4" s="81" customFormat="1" ht="13.5" x14ac:dyDescent="0.2">
      <c r="A32" s="79" t="s">
        <v>21</v>
      </c>
      <c r="B32" s="79">
        <v>1</v>
      </c>
      <c r="C32" s="80" t="s">
        <v>97</v>
      </c>
      <c r="D32" s="80"/>
    </row>
    <row r="33" spans="1:4" s="81" customFormat="1" ht="40.5" x14ac:dyDescent="0.2">
      <c r="A33" s="79" t="s">
        <v>29</v>
      </c>
      <c r="B33" s="79">
        <v>5</v>
      </c>
      <c r="C33" s="80" t="s">
        <v>98</v>
      </c>
      <c r="D33" s="80"/>
    </row>
    <row r="34" spans="1:4" s="81" customFormat="1" ht="51" x14ac:dyDescent="0.2">
      <c r="A34" s="79" t="s">
        <v>29</v>
      </c>
      <c r="B34" s="79">
        <v>6</v>
      </c>
      <c r="C34" s="80" t="s">
        <v>99</v>
      </c>
      <c r="D34" s="126" t="s">
        <v>101</v>
      </c>
    </row>
    <row r="35" spans="1:4" s="81" customFormat="1" ht="27" x14ac:dyDescent="0.2">
      <c r="A35" s="79" t="s">
        <v>28</v>
      </c>
      <c r="B35" s="79">
        <v>2</v>
      </c>
      <c r="C35" s="80" t="s">
        <v>102</v>
      </c>
      <c r="D35" s="80"/>
    </row>
    <row r="36" spans="1:4" s="81" customFormat="1" ht="13.5" x14ac:dyDescent="0.2">
      <c r="A36" s="79" t="s">
        <v>38</v>
      </c>
      <c r="B36" s="79">
        <v>1</v>
      </c>
      <c r="C36" s="80" t="s">
        <v>100</v>
      </c>
      <c r="D36" s="80"/>
    </row>
    <row r="37" spans="1:4" s="81" customFormat="1" ht="13.5" x14ac:dyDescent="0.2">
      <c r="A37" s="79"/>
      <c r="B37" s="79"/>
      <c r="C37" s="80"/>
      <c r="D37" s="80"/>
    </row>
    <row r="38" spans="1:4" s="81" customFormat="1" ht="25.5" x14ac:dyDescent="0.2">
      <c r="A38" s="79" t="s">
        <v>29</v>
      </c>
      <c r="B38" s="79">
        <v>2</v>
      </c>
      <c r="C38" s="80" t="s">
        <v>103</v>
      </c>
      <c r="D38" s="126" t="s">
        <v>106</v>
      </c>
    </row>
    <row r="39" spans="1:4" s="81" customFormat="1" ht="27" x14ac:dyDescent="0.2">
      <c r="A39" s="79" t="s">
        <v>54</v>
      </c>
      <c r="B39" s="79">
        <v>2</v>
      </c>
      <c r="C39" s="80" t="s">
        <v>104</v>
      </c>
      <c r="D39" s="80"/>
    </row>
    <row r="40" spans="1:4" s="81" customFormat="1" ht="27" x14ac:dyDescent="0.2">
      <c r="A40" s="79" t="s">
        <v>54</v>
      </c>
      <c r="B40" s="79">
        <v>2</v>
      </c>
      <c r="C40" s="80" t="s">
        <v>105</v>
      </c>
      <c r="D40" s="80" t="s">
        <v>107</v>
      </c>
    </row>
    <row r="41" spans="1:4" s="81" customFormat="1" ht="27" x14ac:dyDescent="0.2">
      <c r="A41" s="79" t="s">
        <v>54</v>
      </c>
      <c r="B41" s="79">
        <v>5</v>
      </c>
      <c r="C41" s="80" t="s">
        <v>110</v>
      </c>
      <c r="D41" s="80"/>
    </row>
    <row r="42" spans="1:4" s="81" customFormat="1" ht="13.5" x14ac:dyDescent="0.2">
      <c r="A42" s="79" t="s">
        <v>38</v>
      </c>
      <c r="B42" s="79">
        <v>1</v>
      </c>
      <c r="C42" s="80" t="s">
        <v>108</v>
      </c>
      <c r="D42" s="80"/>
    </row>
    <row r="43" spans="1:4" s="81" customFormat="1" ht="14.25" thickBot="1" x14ac:dyDescent="0.25">
      <c r="A43" s="7"/>
      <c r="B43" s="7"/>
      <c r="C43" s="15"/>
      <c r="D43" s="15"/>
    </row>
    <row r="44" spans="1:4" ht="14.25" thickBot="1" x14ac:dyDescent="0.25">
      <c r="A44" s="76" t="s">
        <v>22</v>
      </c>
      <c r="B44" s="76">
        <f>SUM(B3:B43)</f>
        <v>90</v>
      </c>
      <c r="C44" s="83" t="s">
        <v>39</v>
      </c>
      <c r="D44" s="77"/>
    </row>
    <row r="45" spans="1:4" ht="15" thickBot="1" x14ac:dyDescent="0.35">
      <c r="A45" s="78"/>
      <c r="B45" s="78"/>
      <c r="C45" s="78"/>
      <c r="D45" s="78"/>
    </row>
    <row r="46" spans="1:4" ht="18.75" thickBot="1" x14ac:dyDescent="0.25">
      <c r="A46" s="71" t="s">
        <v>14</v>
      </c>
      <c r="B46" s="72">
        <v>2</v>
      </c>
      <c r="C46" s="73" t="s">
        <v>23</v>
      </c>
      <c r="D46" s="82">
        <v>42891</v>
      </c>
    </row>
    <row r="47" spans="1:4" ht="27.75" thickBot="1" x14ac:dyDescent="0.25">
      <c r="A47" s="74" t="s">
        <v>3</v>
      </c>
      <c r="B47" s="75" t="s">
        <v>15</v>
      </c>
      <c r="C47" s="74" t="s">
        <v>7</v>
      </c>
      <c r="D47" s="74" t="s">
        <v>13</v>
      </c>
    </row>
    <row r="48" spans="1:4" ht="13.5" x14ac:dyDescent="0.2">
      <c r="A48" s="108"/>
      <c r="B48" s="109"/>
      <c r="C48" s="110" t="s">
        <v>52</v>
      </c>
      <c r="D48" s="121"/>
    </row>
    <row r="49" spans="1:9" ht="14.25" thickBot="1" x14ac:dyDescent="0.25">
      <c r="A49" s="5" t="s">
        <v>21</v>
      </c>
      <c r="B49" s="6">
        <v>24</v>
      </c>
      <c r="C49" s="14" t="s">
        <v>109</v>
      </c>
      <c r="D49" s="14"/>
    </row>
    <row r="50" spans="1:9" ht="13.5" x14ac:dyDescent="0.2">
      <c r="A50" s="108"/>
      <c r="B50" s="109"/>
      <c r="C50" s="110" t="s">
        <v>48</v>
      </c>
      <c r="D50" s="121"/>
      <c r="E50" s="37"/>
      <c r="F50" s="37"/>
      <c r="G50" s="37"/>
      <c r="H50" s="37"/>
      <c r="I50" s="37"/>
    </row>
    <row r="51" spans="1:9" ht="12.75" customHeight="1" x14ac:dyDescent="0.2">
      <c r="A51" s="5" t="s">
        <v>54</v>
      </c>
      <c r="B51" s="6">
        <v>6</v>
      </c>
      <c r="C51" s="14" t="s">
        <v>113</v>
      </c>
      <c r="D51" s="122"/>
      <c r="E51" s="37"/>
      <c r="F51" s="54"/>
      <c r="G51" s="55"/>
      <c r="H51" s="56"/>
      <c r="I51" s="37"/>
    </row>
    <row r="52" spans="1:9" ht="27" x14ac:dyDescent="0.2">
      <c r="A52" s="5" t="s">
        <v>54</v>
      </c>
      <c r="B52" s="6">
        <v>5</v>
      </c>
      <c r="C52" s="14" t="s">
        <v>112</v>
      </c>
      <c r="D52" s="122" t="s">
        <v>111</v>
      </c>
      <c r="E52" s="37"/>
      <c r="F52" s="57"/>
      <c r="G52" s="53"/>
      <c r="H52" s="53"/>
      <c r="I52" s="37"/>
    </row>
    <row r="53" spans="1:9" ht="14.25" thickBot="1" x14ac:dyDescent="0.25">
      <c r="A53" s="5" t="s">
        <v>38</v>
      </c>
      <c r="B53" s="6">
        <v>1</v>
      </c>
      <c r="C53" s="14" t="s">
        <v>80</v>
      </c>
      <c r="D53" s="14"/>
      <c r="E53" s="37"/>
      <c r="F53" s="59"/>
      <c r="G53" s="60"/>
      <c r="H53" s="60"/>
      <c r="I53" s="37"/>
    </row>
    <row r="54" spans="1:9" ht="13.5" x14ac:dyDescent="0.2">
      <c r="A54" s="108"/>
      <c r="B54" s="109"/>
      <c r="C54" s="110" t="s">
        <v>49</v>
      </c>
      <c r="D54" s="121"/>
      <c r="E54" s="37"/>
      <c r="F54" s="59"/>
      <c r="G54" s="60"/>
      <c r="H54" s="60"/>
      <c r="I54" s="37"/>
    </row>
    <row r="55" spans="1:9" ht="27" x14ac:dyDescent="0.2">
      <c r="A55" s="5" t="s">
        <v>54</v>
      </c>
      <c r="B55" s="6">
        <v>3</v>
      </c>
      <c r="C55" s="14" t="s">
        <v>114</v>
      </c>
      <c r="D55" s="14"/>
      <c r="E55" s="37"/>
      <c r="F55" s="59"/>
      <c r="G55" s="60"/>
      <c r="H55" s="60"/>
      <c r="I55" s="37"/>
    </row>
    <row r="56" spans="1:9" ht="27" x14ac:dyDescent="0.2">
      <c r="A56" s="5" t="s">
        <v>54</v>
      </c>
      <c r="B56" s="6">
        <v>11</v>
      </c>
      <c r="C56" s="14" t="s">
        <v>116</v>
      </c>
      <c r="D56" s="122" t="s">
        <v>115</v>
      </c>
      <c r="E56" s="37"/>
      <c r="F56" s="59"/>
      <c r="G56" s="60"/>
      <c r="H56" s="60"/>
      <c r="I56" s="37"/>
    </row>
    <row r="57" spans="1:9" ht="13.5" x14ac:dyDescent="0.2">
      <c r="A57" s="6" t="s">
        <v>38</v>
      </c>
      <c r="B57" s="6">
        <v>1</v>
      </c>
      <c r="C57" s="14" t="s">
        <v>80</v>
      </c>
      <c r="D57" s="14"/>
      <c r="E57" s="37"/>
      <c r="F57" s="59"/>
      <c r="G57" s="60"/>
      <c r="H57" s="60"/>
      <c r="I57" s="37"/>
    </row>
    <row r="58" spans="1:9" ht="13.5" x14ac:dyDescent="0.2">
      <c r="A58" s="6"/>
      <c r="B58" s="6"/>
      <c r="C58" s="14"/>
      <c r="D58" s="14"/>
      <c r="E58" s="37"/>
      <c r="F58" s="59"/>
      <c r="G58" s="60"/>
      <c r="H58" s="60"/>
      <c r="I58" s="37"/>
    </row>
    <row r="59" spans="1:9" ht="27" x14ac:dyDescent="0.2">
      <c r="A59" s="6" t="s">
        <v>54</v>
      </c>
      <c r="B59" s="6">
        <v>2</v>
      </c>
      <c r="C59" s="14" t="s">
        <v>117</v>
      </c>
      <c r="D59" s="122" t="s">
        <v>118</v>
      </c>
      <c r="E59" s="37"/>
      <c r="F59" s="59"/>
      <c r="G59" s="60"/>
      <c r="H59" s="60"/>
      <c r="I59" s="37"/>
    </row>
    <row r="60" spans="1:9" ht="40.5" x14ac:dyDescent="0.2">
      <c r="A60" s="79" t="s">
        <v>54</v>
      </c>
      <c r="B60" s="79">
        <v>2</v>
      </c>
      <c r="C60" s="80" t="s">
        <v>119</v>
      </c>
      <c r="D60" s="80"/>
      <c r="E60" s="37"/>
      <c r="F60" s="59"/>
      <c r="G60" s="60"/>
      <c r="H60" s="60"/>
      <c r="I60" s="37"/>
    </row>
    <row r="61" spans="1:9" ht="27" x14ac:dyDescent="0.2">
      <c r="A61" s="79" t="s">
        <v>54</v>
      </c>
      <c r="B61" s="79">
        <v>2</v>
      </c>
      <c r="C61" s="80" t="s">
        <v>120</v>
      </c>
      <c r="D61" s="80"/>
      <c r="E61" s="37"/>
      <c r="F61" s="61"/>
      <c r="G61" s="62"/>
      <c r="H61" s="62"/>
      <c r="I61" s="37"/>
    </row>
    <row r="62" spans="1:9" ht="40.5" x14ac:dyDescent="0.2">
      <c r="A62" s="79" t="s">
        <v>30</v>
      </c>
      <c r="B62" s="79">
        <v>3</v>
      </c>
      <c r="C62" s="80" t="s">
        <v>123</v>
      </c>
      <c r="D62" s="126" t="s">
        <v>126</v>
      </c>
      <c r="E62" s="37"/>
      <c r="F62" s="61"/>
      <c r="G62" s="62"/>
      <c r="H62" s="62"/>
      <c r="I62" s="37"/>
    </row>
    <row r="63" spans="1:9" ht="40.5" x14ac:dyDescent="0.2">
      <c r="A63" s="79" t="s">
        <v>30</v>
      </c>
      <c r="B63" s="79">
        <v>2</v>
      </c>
      <c r="C63" s="80" t="s">
        <v>121</v>
      </c>
      <c r="D63" s="80"/>
      <c r="E63" s="37"/>
      <c r="F63" s="61"/>
      <c r="G63" s="62"/>
      <c r="H63" s="62"/>
      <c r="I63" s="37"/>
    </row>
    <row r="64" spans="1:9" ht="15" thickBot="1" x14ac:dyDescent="0.35">
      <c r="A64" s="137" t="s">
        <v>38</v>
      </c>
      <c r="B64" s="79">
        <v>1</v>
      </c>
      <c r="C64" s="138" t="s">
        <v>122</v>
      </c>
      <c r="D64" s="80"/>
      <c r="E64" s="37"/>
      <c r="F64" s="63"/>
      <c r="G64" s="63"/>
      <c r="H64" s="63"/>
      <c r="I64" s="37"/>
    </row>
    <row r="65" spans="1:9" ht="14.25" x14ac:dyDescent="0.3">
      <c r="A65" s="108"/>
      <c r="B65" s="109"/>
      <c r="C65" s="110" t="s">
        <v>50</v>
      </c>
      <c r="D65" s="121"/>
      <c r="E65" s="37"/>
      <c r="F65" s="63"/>
      <c r="G65" s="63"/>
      <c r="H65" s="63"/>
      <c r="I65" s="37"/>
    </row>
    <row r="66" spans="1:9" ht="67.5" x14ac:dyDescent="0.3">
      <c r="A66" s="135" t="s">
        <v>30</v>
      </c>
      <c r="B66" s="134">
        <v>6</v>
      </c>
      <c r="C66" s="132" t="s">
        <v>124</v>
      </c>
      <c r="D66" s="131" t="s">
        <v>125</v>
      </c>
      <c r="E66" s="37"/>
      <c r="F66" s="63"/>
      <c r="G66" s="63"/>
      <c r="H66" s="63"/>
      <c r="I66" s="37"/>
    </row>
    <row r="67" spans="1:9" ht="54" x14ac:dyDescent="0.3">
      <c r="A67" s="135" t="s">
        <v>30</v>
      </c>
      <c r="B67" s="134">
        <v>5</v>
      </c>
      <c r="C67" s="132" t="s">
        <v>127</v>
      </c>
      <c r="D67" s="140" t="s">
        <v>128</v>
      </c>
      <c r="E67" s="37"/>
      <c r="F67" s="63"/>
      <c r="G67" s="63"/>
      <c r="H67" s="63"/>
      <c r="I67" s="37"/>
    </row>
    <row r="68" spans="1:9" ht="14.25" x14ac:dyDescent="0.3">
      <c r="A68" s="135" t="s">
        <v>30</v>
      </c>
      <c r="B68" s="134">
        <v>3</v>
      </c>
      <c r="C68" s="132" t="s">
        <v>129</v>
      </c>
      <c r="D68" s="131"/>
      <c r="E68" s="37"/>
      <c r="F68" s="63"/>
      <c r="G68" s="63"/>
      <c r="H68" s="63"/>
      <c r="I68" s="37"/>
    </row>
    <row r="69" spans="1:9" ht="14.25" x14ac:dyDescent="0.3">
      <c r="A69" s="135" t="s">
        <v>38</v>
      </c>
      <c r="B69" s="134">
        <v>1</v>
      </c>
      <c r="C69" s="132" t="s">
        <v>122</v>
      </c>
      <c r="D69" s="131"/>
      <c r="E69" s="37"/>
      <c r="F69" s="63"/>
      <c r="G69" s="63"/>
      <c r="H69" s="63"/>
      <c r="I69" s="37"/>
    </row>
    <row r="70" spans="1:9" ht="14.25" x14ac:dyDescent="0.3">
      <c r="A70" s="141"/>
      <c r="B70" s="142"/>
      <c r="C70" s="143"/>
      <c r="D70" s="144"/>
      <c r="E70" s="37"/>
      <c r="F70" s="63"/>
      <c r="G70" s="63"/>
      <c r="H70" s="63"/>
      <c r="I70" s="37"/>
    </row>
    <row r="71" spans="1:9" ht="27" x14ac:dyDescent="0.3">
      <c r="A71" s="141" t="s">
        <v>57</v>
      </c>
      <c r="B71" s="142">
        <v>4</v>
      </c>
      <c r="C71" s="143" t="s">
        <v>130</v>
      </c>
      <c r="D71" s="144"/>
      <c r="E71" s="37"/>
      <c r="F71" s="63"/>
      <c r="G71" s="63"/>
      <c r="H71" s="63"/>
      <c r="I71" s="37"/>
    </row>
    <row r="72" spans="1:9" ht="67.5" x14ac:dyDescent="0.3">
      <c r="A72" s="141" t="s">
        <v>30</v>
      </c>
      <c r="B72" s="142">
        <v>7</v>
      </c>
      <c r="C72" s="143" t="s">
        <v>131</v>
      </c>
      <c r="D72" s="144"/>
      <c r="E72" s="37"/>
      <c r="F72" s="63"/>
      <c r="G72" s="63"/>
      <c r="H72" s="63"/>
      <c r="I72" s="37"/>
    </row>
    <row r="73" spans="1:9" ht="14.25" x14ac:dyDescent="0.3">
      <c r="A73" s="141" t="s">
        <v>38</v>
      </c>
      <c r="B73" s="142">
        <v>1</v>
      </c>
      <c r="C73" s="143" t="s">
        <v>122</v>
      </c>
      <c r="D73" s="144"/>
      <c r="E73" s="37"/>
      <c r="F73" s="63"/>
      <c r="G73" s="63"/>
      <c r="H73" s="63"/>
      <c r="I73" s="37"/>
    </row>
    <row r="74" spans="1:9" ht="15" thickBot="1" x14ac:dyDescent="0.35">
      <c r="A74" s="136"/>
      <c r="B74" s="136"/>
      <c r="C74" s="133"/>
      <c r="D74" s="139"/>
      <c r="E74" s="37"/>
      <c r="F74" s="63"/>
      <c r="G74" s="63"/>
      <c r="H74" s="63"/>
      <c r="I74" s="37"/>
    </row>
    <row r="75" spans="1:9" ht="14.25" thickBot="1" x14ac:dyDescent="0.25">
      <c r="A75" s="128" t="s">
        <v>22</v>
      </c>
      <c r="B75" s="128">
        <f>SUM(B48:B74)</f>
        <v>90</v>
      </c>
      <c r="C75" s="129" t="s">
        <v>39</v>
      </c>
      <c r="D75" s="130"/>
      <c r="E75" s="37"/>
      <c r="F75" s="37"/>
      <c r="G75" s="37"/>
      <c r="H75" s="37"/>
      <c r="I75" s="37"/>
    </row>
    <row r="76" spans="1:9" ht="15" thickBot="1" x14ac:dyDescent="0.35">
      <c r="A76" s="78"/>
      <c r="B76" s="78"/>
      <c r="C76" s="78"/>
      <c r="D76" s="78"/>
      <c r="E76" s="37"/>
      <c r="F76" s="37"/>
      <c r="G76" s="37"/>
      <c r="H76" s="37"/>
      <c r="I76" s="37"/>
    </row>
    <row r="77" spans="1:9" ht="18.75" thickBot="1" x14ac:dyDescent="0.25">
      <c r="A77" s="71" t="s">
        <v>14</v>
      </c>
      <c r="B77" s="72">
        <v>3</v>
      </c>
      <c r="C77" s="73" t="s">
        <v>23</v>
      </c>
      <c r="D77" s="82">
        <v>42898</v>
      </c>
      <c r="E77" s="37"/>
      <c r="F77" s="37"/>
      <c r="G77" s="37"/>
      <c r="H77" s="37"/>
      <c r="I77" s="37"/>
    </row>
    <row r="78" spans="1:9" ht="27.75" thickBot="1" x14ac:dyDescent="0.25">
      <c r="A78" s="74" t="s">
        <v>3</v>
      </c>
      <c r="B78" s="75" t="s">
        <v>15</v>
      </c>
      <c r="C78" s="74" t="s">
        <v>7</v>
      </c>
      <c r="D78" s="74" t="s">
        <v>13</v>
      </c>
    </row>
    <row r="79" spans="1:9" ht="13.5" x14ac:dyDescent="0.2">
      <c r="A79" s="108"/>
      <c r="B79" s="109"/>
      <c r="C79" s="110" t="s">
        <v>52</v>
      </c>
      <c r="D79" s="121"/>
    </row>
    <row r="80" spans="1:9" ht="40.5" x14ac:dyDescent="0.2">
      <c r="A80" s="5" t="s">
        <v>30</v>
      </c>
      <c r="B80" s="6">
        <v>2</v>
      </c>
      <c r="C80" s="14" t="s">
        <v>133</v>
      </c>
      <c r="D80" s="122" t="s">
        <v>132</v>
      </c>
    </row>
    <row r="81" spans="1:4" ht="67.5" x14ac:dyDescent="0.2">
      <c r="A81" s="5" t="s">
        <v>30</v>
      </c>
      <c r="B81" s="6">
        <v>2</v>
      </c>
      <c r="C81" s="14" t="s">
        <v>134</v>
      </c>
      <c r="D81" s="14"/>
    </row>
    <row r="82" spans="1:4" ht="94.5" x14ac:dyDescent="0.2">
      <c r="A82" s="5" t="s">
        <v>30</v>
      </c>
      <c r="B82" s="6">
        <v>2</v>
      </c>
      <c r="C82" s="14" t="s">
        <v>136</v>
      </c>
      <c r="D82" s="14" t="s">
        <v>135</v>
      </c>
    </row>
    <row r="83" spans="1:4" ht="13.5" x14ac:dyDescent="0.2">
      <c r="A83" s="5" t="s">
        <v>21</v>
      </c>
      <c r="B83" s="6">
        <v>6</v>
      </c>
      <c r="C83" s="14" t="s">
        <v>137</v>
      </c>
      <c r="D83" s="14"/>
    </row>
    <row r="84" spans="1:4" ht="13.5" x14ac:dyDescent="0.2">
      <c r="A84" s="5"/>
      <c r="B84" s="6"/>
      <c r="C84" s="14"/>
      <c r="D84" s="14"/>
    </row>
    <row r="85" spans="1:4" ht="13.5" x14ac:dyDescent="0.2">
      <c r="A85" s="5" t="s">
        <v>38</v>
      </c>
      <c r="B85" s="6">
        <v>2</v>
      </c>
      <c r="C85" s="14" t="s">
        <v>142</v>
      </c>
      <c r="D85" s="14"/>
    </row>
    <row r="86" spans="1:4" ht="108" x14ac:dyDescent="0.2">
      <c r="A86" s="5" t="s">
        <v>30</v>
      </c>
      <c r="B86" s="6">
        <v>4</v>
      </c>
      <c r="C86" s="14" t="s">
        <v>139</v>
      </c>
      <c r="D86" s="14" t="s">
        <v>138</v>
      </c>
    </row>
    <row r="87" spans="1:4" ht="27" x14ac:dyDescent="0.2">
      <c r="A87" s="5" t="s">
        <v>30</v>
      </c>
      <c r="B87" s="6">
        <v>3</v>
      </c>
      <c r="C87" s="14" t="s">
        <v>141</v>
      </c>
      <c r="D87" s="14"/>
    </row>
    <row r="88" spans="1:4" ht="14.25" thickBot="1" x14ac:dyDescent="0.25">
      <c r="A88" s="6" t="s">
        <v>21</v>
      </c>
      <c r="B88" s="6">
        <v>3</v>
      </c>
      <c r="C88" s="14" t="s">
        <v>140</v>
      </c>
      <c r="D88" s="14"/>
    </row>
    <row r="89" spans="1:4" ht="13.5" x14ac:dyDescent="0.2">
      <c r="A89" s="108"/>
      <c r="B89" s="109"/>
      <c r="C89" s="110" t="s">
        <v>48</v>
      </c>
      <c r="D89" s="121"/>
    </row>
    <row r="90" spans="1:4" ht="27" x14ac:dyDescent="0.2">
      <c r="A90" s="6" t="s">
        <v>30</v>
      </c>
      <c r="B90" s="6">
        <v>3</v>
      </c>
      <c r="C90" s="14" t="s">
        <v>143</v>
      </c>
      <c r="D90" s="14"/>
    </row>
    <row r="91" spans="1:4" ht="67.5" x14ac:dyDescent="0.2">
      <c r="A91" s="79" t="s">
        <v>30</v>
      </c>
      <c r="B91" s="79">
        <v>6</v>
      </c>
      <c r="C91" s="80" t="s">
        <v>144</v>
      </c>
      <c r="D91" s="80"/>
    </row>
    <row r="92" spans="1:4" ht="27" x14ac:dyDescent="0.2">
      <c r="A92" s="79" t="s">
        <v>54</v>
      </c>
      <c r="B92" s="79">
        <v>2</v>
      </c>
      <c r="C92" s="80" t="s">
        <v>145</v>
      </c>
      <c r="D92" s="80"/>
    </row>
    <row r="93" spans="1:4" ht="13.5" x14ac:dyDescent="0.2">
      <c r="A93" s="79" t="s">
        <v>38</v>
      </c>
      <c r="B93" s="79">
        <v>1</v>
      </c>
      <c r="C93" s="80" t="s">
        <v>122</v>
      </c>
      <c r="D93" s="80"/>
    </row>
    <row r="94" spans="1:4" ht="13.5" x14ac:dyDescent="0.2">
      <c r="A94" s="79"/>
      <c r="B94" s="79"/>
      <c r="C94" s="80"/>
      <c r="D94" s="80"/>
    </row>
    <row r="95" spans="1:4" ht="13.5" x14ac:dyDescent="0.2">
      <c r="A95" s="79"/>
      <c r="B95" s="79"/>
      <c r="C95" s="80"/>
      <c r="D95" s="80"/>
    </row>
    <row r="96" spans="1:4" ht="14.25" thickBot="1" x14ac:dyDescent="0.25">
      <c r="A96" s="7"/>
      <c r="B96" s="7"/>
      <c r="C96" s="15"/>
      <c r="D96" s="15"/>
    </row>
    <row r="97" spans="1:4" ht="14.25" thickBot="1" x14ac:dyDescent="0.25">
      <c r="A97" s="76" t="s">
        <v>22</v>
      </c>
      <c r="B97" s="76">
        <f>SUM(B79:B96)</f>
        <v>36</v>
      </c>
      <c r="C97" s="83" t="s">
        <v>39</v>
      </c>
      <c r="D97" s="77"/>
    </row>
    <row r="98" spans="1:4" ht="15" thickBot="1" x14ac:dyDescent="0.35">
      <c r="A98" s="78"/>
      <c r="B98" s="78"/>
      <c r="C98" s="78"/>
      <c r="D98" s="78"/>
    </row>
    <row r="99" spans="1:4" ht="18.75" thickBot="1" x14ac:dyDescent="0.25">
      <c r="A99" s="71" t="s">
        <v>14</v>
      </c>
      <c r="B99" s="72">
        <v>4</v>
      </c>
      <c r="C99" s="73" t="s">
        <v>23</v>
      </c>
      <c r="D99" s="82">
        <v>42905</v>
      </c>
    </row>
    <row r="100" spans="1:4" ht="27.75" thickBot="1" x14ac:dyDescent="0.25">
      <c r="A100" s="74" t="s">
        <v>3</v>
      </c>
      <c r="B100" s="75" t="s">
        <v>15</v>
      </c>
      <c r="C100" s="74" t="s">
        <v>7</v>
      </c>
      <c r="D100" s="74" t="s">
        <v>13</v>
      </c>
    </row>
    <row r="101" spans="1:4" ht="13.5" x14ac:dyDescent="0.2">
      <c r="A101" s="9"/>
      <c r="B101" s="8"/>
      <c r="C101" s="13"/>
      <c r="D101" s="13"/>
    </row>
    <row r="102" spans="1:4" ht="13.5" x14ac:dyDescent="0.2">
      <c r="A102" s="5"/>
      <c r="B102" s="6"/>
      <c r="C102" s="14"/>
      <c r="D102" s="14"/>
    </row>
    <row r="103" spans="1:4" ht="13.5" x14ac:dyDescent="0.2">
      <c r="A103" s="5"/>
      <c r="B103" s="6"/>
      <c r="C103" s="14"/>
      <c r="D103" s="14"/>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5"/>
      <c r="B107" s="6"/>
      <c r="C107" s="14"/>
      <c r="D107" s="14"/>
    </row>
    <row r="108" spans="1:4" ht="13.5" x14ac:dyDescent="0.2">
      <c r="A108" s="5"/>
      <c r="B108" s="6"/>
      <c r="C108" s="14"/>
      <c r="D108" s="14"/>
    </row>
    <row r="109" spans="1:4" ht="13.5" x14ac:dyDescent="0.2">
      <c r="A109" s="5"/>
      <c r="B109" s="6"/>
      <c r="C109" s="14"/>
      <c r="D109" s="14"/>
    </row>
    <row r="110" spans="1:4" ht="13.5" x14ac:dyDescent="0.2">
      <c r="A110" s="6"/>
      <c r="B110" s="6"/>
      <c r="C110" s="14"/>
      <c r="D110" s="14"/>
    </row>
    <row r="111" spans="1:4" ht="13.5" x14ac:dyDescent="0.2">
      <c r="A111" s="6"/>
      <c r="B111" s="6"/>
      <c r="C111" s="14"/>
      <c r="D111" s="14"/>
    </row>
    <row r="112" spans="1:4" ht="13.5" x14ac:dyDescent="0.2">
      <c r="A112" s="6"/>
      <c r="B112" s="6"/>
      <c r="C112" s="14"/>
      <c r="D112" s="14"/>
    </row>
    <row r="113" spans="1:4" ht="13.5" x14ac:dyDescent="0.2">
      <c r="A113" s="79"/>
      <c r="B113" s="79"/>
      <c r="C113" s="80"/>
      <c r="D113" s="80"/>
    </row>
    <row r="114" spans="1:4" ht="13.5" x14ac:dyDescent="0.2">
      <c r="A114" s="79"/>
      <c r="B114" s="79"/>
      <c r="C114" s="80"/>
      <c r="D114" s="80"/>
    </row>
    <row r="115" spans="1:4" ht="14.25" thickBot="1" x14ac:dyDescent="0.25">
      <c r="A115" s="7"/>
      <c r="B115" s="7"/>
      <c r="C115" s="15"/>
      <c r="D115" s="15"/>
    </row>
    <row r="116" spans="1:4" ht="14.25" thickBot="1" x14ac:dyDescent="0.25">
      <c r="A116" s="76" t="s">
        <v>22</v>
      </c>
      <c r="B116" s="76">
        <f>SUM(B101:B115)</f>
        <v>0</v>
      </c>
      <c r="C116" s="83" t="s">
        <v>39</v>
      </c>
      <c r="D116" s="77"/>
    </row>
    <row r="117" spans="1:4" ht="14.25" x14ac:dyDescent="0.3">
      <c r="A117" s="78"/>
      <c r="B117" s="78"/>
      <c r="C117" s="78"/>
      <c r="D117" s="78"/>
    </row>
    <row r="118" spans="1:4" x14ac:dyDescent="0.2">
      <c r="A118"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1:F63">
      <formula1>0</formula1>
      <formula2>DureePeriode-1</formula2>
    </dataValidation>
    <dataValidation type="whole" errorStyle="warning" operator="greaterThan" allowBlank="1" showInputMessage="1" showErrorMessage="1" errorTitle="Durée en 1/3 de période" error="Le nombre doit être de type entier" sqref="F53:F60 B101:B115 B3:B43 B48:B74 B79:B9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4 B75 B97 B116">
      <formula1>0</formula1>
      <formula2>NbPerWeek * NbQuartPer</formula2>
    </dataValidation>
    <dataValidation type="list" allowBlank="1" showInputMessage="1" showErrorMessage="1" sqref="A101:A115 A3:A43 A48:A74 A79:A96">
      <formula1>lstTasks</formula1>
    </dataValidation>
  </dataValidations>
  <hyperlinks>
    <hyperlink ref="D4" r:id="rId1"/>
    <hyperlink ref="D6" r:id="rId2"/>
    <hyperlink ref="D10" r:id="rId3"/>
    <hyperlink ref="D23" r:id="rId4"/>
    <hyperlink ref="D16" r:id="rId5"/>
    <hyperlink ref="D15" r:id="rId6"/>
    <hyperlink ref="D17" r:id="rId7"/>
    <hyperlink ref="D34" r:id="rId8" display="https://stackoverflow.com/questions/7478023/how-to-set-background-color-in-the-xml-layout"/>
    <hyperlink ref="D38" r:id="rId9"/>
    <hyperlink ref="D52" r:id="rId10"/>
    <hyperlink ref="D59" r:id="rId11"/>
    <hyperlink ref="D56" r:id="rId12"/>
    <hyperlink ref="D62" r:id="rId13" display="https://material.io/guidelines/style/color.html_x000a_"/>
    <hyperlink ref="D67" r:id="rId14" location="!/?view.left=0&amp;view.right=0" display="https://material.io/color/#!/?view.left=0&amp;view.right=0"/>
    <hyperlink ref="D80" r:id="rId15"/>
  </hyperlinks>
  <printOptions horizontalCentered="1" verticalCentered="1"/>
  <pageMargins left="0.25" right="0.25" top="0.75" bottom="0.75" header="0.3" footer="0.3"/>
  <pageSetup paperSize="9" scale="61" fitToHeight="0" orientation="portrait" cellComments="atEnd" r:id="rId16"/>
  <headerFooter>
    <oddHeader>&amp;L&amp;"ETML L,Normal"&amp;24ETML</oddHeader>
    <oddFooter>&amp;C&amp;F&amp;L&amp;D</oddFooter>
  </headerFooter>
  <drawing r:id="rId17"/>
  <legacyDrawing r:id="rId18"/>
  <controls>
    <mc:AlternateContent xmlns:mc="http://schemas.openxmlformats.org/markup-compatibility/2006">
      <mc:Choice Requires="x14">
        <control shapeId="46081" r:id="rId19" name="btnImportRealisation">
          <controlPr defaultSize="0" autoLine="0" r:id="rId20">
            <anchor moveWithCells="1">
              <from>
                <xdr:col>4</xdr:col>
                <xdr:colOff>590550</xdr:colOff>
                <xdr:row>0</xdr:row>
                <xdr:rowOff>180975</xdr:rowOff>
              </from>
              <to>
                <xdr:col>7</xdr:col>
                <xdr:colOff>257175</xdr:colOff>
                <xdr:row>2</xdr:row>
                <xdr:rowOff>152400</xdr:rowOff>
              </to>
            </anchor>
          </controlPr>
        </control>
      </mc:Choice>
      <mc:Fallback>
        <control shapeId="46081" r:id="rId19"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topLeftCell="A34" zoomScaleNormal="100" zoomScaleSheetLayoutView="100" workbookViewId="0">
      <selection activeCell="C48" sqref="C48"/>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2017-06-13T14:32:36Z</dcterms:modified>
  <cp:contentStatus>Version 8.0</cp:contentStatus>
</cp:coreProperties>
</file>