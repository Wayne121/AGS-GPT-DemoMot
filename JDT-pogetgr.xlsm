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GitKraken\DemoMot\AGS-GPT-DemoMot\"/>
    </mc:Choice>
  </mc:AlternateContent>
  <bookViews>
    <workbookView xWindow="0" yWindow="0" windowWidth="25200" windowHeight="11850" activeTab="6"/>
  </bookViews>
  <sheets>
    <sheet name="Donnees" sheetId="7" r:id="rId1"/>
    <sheet name="Diagramme" sheetId="163" r:id="rId2"/>
    <sheet name="DiagramHeader" sheetId="10" state="hidden" r:id="rId3"/>
    <sheet name="DiagramFooter" sheetId="130" state="hidden" r:id="rId4"/>
    <sheet name="PlanificationWeek" sheetId="11" state="hidden" r:id="rId5"/>
    <sheet name="achievementWeek" sheetId="154" state="hidden" r:id="rId6"/>
    <sheet name="JNLTRAV" sheetId="159" r:id="rId7"/>
    <sheet name="Planning" sheetId="160"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JNLTRAV!$A$1:$D$45</definedName>
    <definedName name="_xlnm.Print_Area" localSheetId="1">Diagramme!$A$1:$MZ$37</definedName>
    <definedName name="_xlnm.Print_Area" localSheetId="0">Donnees!$A$1:$G$54</definedName>
    <definedName name="_xlnm.Print_Area" localSheetId="6">JNLTRAV!$A$1:$D$102</definedName>
    <definedName name="_xlnm.Print_Area" localSheetId="7">Planning!$A$1:$D$93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3" i="163" l="1"/>
  <c r="B31" i="163"/>
  <c r="B29" i="163"/>
  <c r="B27" i="163"/>
  <c r="B25" i="163"/>
  <c r="B23" i="163"/>
  <c r="B21" i="163"/>
  <c r="B19" i="163"/>
  <c r="B17" i="163"/>
  <c r="B15" i="163"/>
  <c r="B13" i="163"/>
  <c r="B11" i="163"/>
  <c r="B9" i="163"/>
  <c r="B7" i="163"/>
  <c r="B5" i="163"/>
  <c r="C36" i="163"/>
  <c r="C35" i="163"/>
  <c r="B94" i="160"/>
  <c r="B81" i="160"/>
  <c r="B52" i="160"/>
  <c r="B24" i="160"/>
  <c r="B101" i="159"/>
  <c r="B82" i="159"/>
  <c r="B63" i="159"/>
  <c r="B44" i="159"/>
  <c r="B18" i="154" l="1"/>
  <c r="B13" i="11"/>
</calcChain>
</file>

<file path=xl/sharedStrings.xml><?xml version="1.0" encoding="utf-8"?>
<sst xmlns="http://schemas.openxmlformats.org/spreadsheetml/2006/main" count="291" uniqueCount="110">
  <si>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</si>
  <si>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</si>
  <si>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</si>
  <si>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</si>
  <si>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</si>
  <si>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</si>
  <si>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</si>
  <si>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</si>
  <si>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</si>
  <si>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</si>
  <si>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</si>
  <si>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</si>
  <si>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</si>
  <si>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</si>
  <si>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</si>
  <si>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</si>
  <si>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</si>
  <si>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</si>
  <si>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</si>
  <si>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</si>
  <si>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</si>
  <si>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</si>
  <si>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</si>
  <si>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</si>
  <si>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</si>
  <si>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CIN2A</t>
  </si>
  <si>
    <t>ETML</t>
  </si>
  <si>
    <t>Documentation</t>
  </si>
  <si>
    <t>Découverte du programme</t>
  </si>
  <si>
    <t>Recherche</t>
  </si>
  <si>
    <t>Création des options</t>
  </si>
  <si>
    <t>Création grille de notes</t>
  </si>
  <si>
    <t>Création de grille adaptée</t>
  </si>
  <si>
    <t>Insertion Module, notes</t>
  </si>
  <si>
    <t>Calcule automatique des moyennes</t>
  </si>
  <si>
    <t>Affichage des résultats</t>
  </si>
  <si>
    <t>SQLite</t>
  </si>
  <si>
    <t>Préferences système</t>
  </si>
  <si>
    <t>Journal de travail</t>
  </si>
  <si>
    <t>Max. 90</t>
  </si>
  <si>
    <t>STOP</t>
  </si>
  <si>
    <t>S 1</t>
  </si>
  <si>
    <t>S 2</t>
  </si>
  <si>
    <t>S 3</t>
  </si>
  <si>
    <t>S 4</t>
  </si>
  <si>
    <t>Test</t>
  </si>
  <si>
    <t>Création du journal de travail</t>
  </si>
  <si>
    <t>Création du dépôt</t>
  </si>
  <si>
    <t>MARDI</t>
  </si>
  <si>
    <t>MERCREDI</t>
  </si>
  <si>
    <t>VENDREDI</t>
  </si>
  <si>
    <t>Création du cahier des charges</t>
  </si>
  <si>
    <t>LUNDI</t>
  </si>
  <si>
    <t>Création interface graphique et Rapport</t>
  </si>
  <si>
    <t>Création de l'application</t>
  </si>
  <si>
    <t>Lundi congé</t>
  </si>
  <si>
    <t>Scéance de classe</t>
  </si>
  <si>
    <t>Réparation des bugs</t>
  </si>
  <si>
    <t>Test sur téléphone</t>
  </si>
  <si>
    <t>Création de la présentation</t>
  </si>
  <si>
    <t>RESTE DE LA SEMAINE</t>
  </si>
  <si>
    <t>Temps additionnel pour les présentation et les rangements de la classe</t>
  </si>
  <si>
    <t>Création du cahier des charges selon les critères du projet avec André</t>
  </si>
  <si>
    <t>H:\GitKraken\DemoMot\AGS-GPT-DemoMot\DemoMot-ags-gpt-ApplicationAndroidJava.docx</t>
  </si>
  <si>
    <t>Création du dépôt Github, initial commit, configuration sur GitKraken pour GitFlow</t>
  </si>
  <si>
    <t>https://github.com/Wayne121/AGS-GPT-DemoMot/</t>
  </si>
  <si>
    <t>H:\GitKraken\DemoMot\AGS-GPT-DemoMot\Modele-JDT.xlsm</t>
  </si>
  <si>
    <t>Création du modèle du Journal de Travail avec plannification pour les 4 semaines qu'André et moi allons utiliser pour le projet</t>
  </si>
  <si>
    <t>Nous sommes partis demander des conseils à KBA concernant notre projet et Cahier des charges, quelques modifications ont été apportés au cahier des charges et nous en savont un peu plus sur Android Studio</t>
  </si>
  <si>
    <t>Visualisation d'une vidéo youtube tutoriel sur Android Studio</t>
  </si>
  <si>
    <t>https://www.youtube.com/watch?v=TCJFoExOBUE</t>
  </si>
  <si>
    <t>http://jmdoudoux.developpez.com/cours/developpons/java/</t>
  </si>
  <si>
    <t xml:space="preserve">Recherches d'un cours complet sur Java qui puisse nous être utile en cas de problème pendant la programmation </t>
  </si>
  <si>
    <t>Séance de classe - 30minutes</t>
  </si>
  <si>
    <t>Quelques essais sur Android studio et découverte du logiciel =&gt; Rien de concluant pour l'instant un simple Hello World</t>
  </si>
  <si>
    <t>Mise à Jour du Journal De Travail et Push sur le Dépôt Git</t>
  </si>
  <si>
    <t>Essais pour installer l'apk pour la tester sur mon Android =&gt; Soit l'application se ferme, soit l'installation échoue, je réessayerai dans quelques jours</t>
  </si>
  <si>
    <t>H:\GitKraken\DemoMot\AGS-GPT-DemoMot\AppTest1.png</t>
  </si>
  <si>
    <t>Mise en place d'une application "compteur" permettant d'incrémenter un nombre lors de l'appui d'un bouton
Commentaires absent pour le moment dû au fait que je ne comprend pas encore bien le code</t>
  </si>
  <si>
    <t>Recherches sur les EditText pour mettre un champ dans l'application</t>
  </si>
  <si>
    <t>Mise à jour du JDT</t>
  </si>
  <si>
    <t>Modifications de l'application pour mettre un champ EditText qui modifie le nombre de click effectué</t>
  </si>
  <si>
    <t xml:space="preserve">Création de l'interface d'une nouvelle application qui converti les celsius en farhenheit et vice versa. </t>
  </si>
  <si>
    <t xml:space="preserve">Création des algorithmes de convertions et affichage </t>
  </si>
  <si>
    <t>(fahrenheit = celsius * 9/5 +32;) 
(celsius = (fahrenheit-32)*5/9;)</t>
  </si>
  <si>
    <t>http://www.programcreek.com/java-api-examples/android.view.View.OnKeyListener</t>
  </si>
  <si>
    <t>Essais sur les KeyEvent pour que le texte se valide uniquement quand le bouton ENTER est pressé</t>
  </si>
  <si>
    <t>Test pour pouvoir reset la zone de texte lors de l'appui sur ENTER =&gt; problème l'application crash dû au fait que l'application ne veut pas mettre un texte null dans la zone de texte ou dans un TextView. Je ferais probablement des recherches là dessus cet après midi</t>
  </si>
  <si>
    <t>Mise à Jour du Journal De Travail</t>
  </si>
  <si>
    <t>https://www.youtube.com/watch?v=MJ_32Tuuu74</t>
  </si>
  <si>
    <t>H:\GitKraken\DemoMot\AGS-GPT-DemoMot\celtofah.png</t>
  </si>
  <si>
    <t>Recherches encore une fois pour installer une APK sur mon smartphone =&gt; Bug au niveau de la compilation</t>
  </si>
  <si>
    <t>https://developer.android.com/studio/publish/app-signing.html
https://www.youtube.com/watch?v=riSZC3xvHas</t>
  </si>
  <si>
    <t>Régler le problème de l'application qui crash pour que le ENTER fonctionne</t>
  </si>
  <si>
    <t>Effacer ce qu'il y a dans le champ après avoir appuyé sur ENTER =&gt; pas réussi dû au problème du champ null</t>
  </si>
  <si>
    <t>Création de la maquette graphique du site</t>
  </si>
  <si>
    <t>Maquette</t>
  </si>
  <si>
    <t>Demande de conseils à KBA</t>
  </si>
  <si>
    <t xml:space="preserve">Recherches pour le débogage USB et création d'apk pour pouvoir tester sur mon smartphone =&gt; rien trouvé de très concluant encore une fois. Sur mon PC personnel fonctionne correctement </t>
  </si>
  <si>
    <t>Recherches sur les background, compliqué à changer dynamiquement, je verrai plus tard si on a le temps de le faire</t>
  </si>
  <si>
    <t>Mise à Jour du JdT</t>
  </si>
  <si>
    <t>https://stackoverflow.com/questions/7478023/how-to-set-background-color-in-the-xml-layout
https://stackoverflow.com/questions/2748830/how-to-change-background-color-in-android-app</t>
  </si>
  <si>
    <t>Ajout d'un background de couleur à l'application CelToFah (Statique)</t>
  </si>
  <si>
    <t>Recherches pour créer un bouton dynamiquement</t>
  </si>
  <si>
    <t>Intégration dans un code le bouton créé dynamiquement</t>
  </si>
  <si>
    <t>Réfléxion pour savoir comment placer les boutons quand une matière est créée =&gt; Pseudo code et croquis de l'interface sur papier pour avoir moins de difficulté à le coder</t>
  </si>
  <si>
    <t>https://stackoverflow.com/questions/15082432/how-to-create-button-dynamically-in-android</t>
  </si>
  <si>
    <t>(Photo d'un croquis plus propre plus tard)</t>
  </si>
  <si>
    <t>Récolte des données (Screen size, button size, margin) et test pour les placer dynamiquement</t>
  </si>
  <si>
    <t>Mise à jour du JDT et push git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</si>
</sst>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color theme="0"/>
      <name val="Century Gothic"/>
      <family val="2"/>
      <scheme val="minor"/>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theme="1"/>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9">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20" fillId="15" borderId="1" xfId="1"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top" wrapText="1"/>
      <protection locked="0"/>
    </xf>
    <xf numFmtId="0" fontId="20" fillId="15" borderId="2" xfId="0" applyFont="1" applyFill="1" applyBorder="1" applyAlignment="1" applyProtection="1">
      <alignment horizontal="left" vertical="top" wrapText="1"/>
      <protection locked="0"/>
    </xf>
    <xf numFmtId="0" fontId="20" fillId="15" borderId="2" xfId="0"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top" wrapText="1"/>
      <protection locked="0"/>
    </xf>
    <xf numFmtId="0" fontId="16" fillId="15" borderId="0" xfId="0" applyFont="1" applyFill="1" applyBorder="1"/>
    <xf numFmtId="0" fontId="16" fillId="15" borderId="0" xfId="0" applyFont="1" applyFill="1"/>
    <xf numFmtId="0" fontId="20" fillId="15" borderId="0" xfId="0" applyFont="1" applyFill="1" applyBorder="1" applyAlignment="1" applyProtection="1">
      <alignment horizontal="center" vertical="center" wrapText="1"/>
      <protection locked="0"/>
    </xf>
    <xf numFmtId="0" fontId="20" fillId="15" borderId="0" xfId="0" applyFont="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20" fillId="15" borderId="1"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10" fillId="15" borderId="33" xfId="0" applyFont="1" applyFill="1" applyBorder="1" applyAlignment="1" applyProtection="1">
      <alignment horizontal="center" vertical="center" wrapText="1"/>
      <protection locked="0"/>
    </xf>
    <xf numFmtId="0" fontId="20" fillId="15" borderId="33" xfId="0" applyFont="1" applyFill="1" applyBorder="1" applyAlignment="1" applyProtection="1">
      <alignment horizontal="center" vertical="top" wrapText="1"/>
      <protection locked="0"/>
    </xf>
    <xf numFmtId="0" fontId="10" fillId="15" borderId="33" xfId="0" applyFont="1" applyFill="1" applyBorder="1" applyAlignment="1" applyProtection="1">
      <alignment horizontal="left" vertical="top" wrapText="1"/>
      <protection locked="0"/>
    </xf>
    <xf numFmtId="0" fontId="2" fillId="0" borderId="33" xfId="1" applyFill="1" applyBorder="1" applyAlignment="1" applyProtection="1">
      <alignment horizontal="left" vertical="top" wrapText="1"/>
      <protection locked="0"/>
    </xf>
    <xf numFmtId="0" fontId="0" fillId="0" borderId="0" xfId="0" applyAlignment="1">
      <alignment wrapText="1"/>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stackoverflow.com/questions/7478023/how-to-set-background-color-in-the-xml-layout" TargetMode="External"/><Relationship Id="rId13" Type="http://schemas.openxmlformats.org/officeDocument/2006/relationships/control" Target="../activeX/activeX6.xml"/><Relationship Id="rId3" Type="http://schemas.openxmlformats.org/officeDocument/2006/relationships/hyperlink" Target="https://www.youtube.com/watch?v=TCJFoExOBUE" TargetMode="External"/><Relationship Id="rId7" Type="http://schemas.openxmlformats.org/officeDocument/2006/relationships/hyperlink" Target="https://www.youtube.com/watch?v=MJ_32Tuuu74" TargetMode="External"/><Relationship Id="rId12" Type="http://schemas.openxmlformats.org/officeDocument/2006/relationships/vmlDrawing" Target="../drawings/vmlDrawing4.vml"/><Relationship Id="rId2" Type="http://schemas.openxmlformats.org/officeDocument/2006/relationships/hyperlink" Target="https://github.com/Wayne121/AGS-GPT-DemoMot/" TargetMode="External"/><Relationship Id="rId1" Type="http://schemas.openxmlformats.org/officeDocument/2006/relationships/hyperlink" Target="DemoMot-ags-gpt-ApplicationAndroidJava.docx" TargetMode="External"/><Relationship Id="rId6" Type="http://schemas.openxmlformats.org/officeDocument/2006/relationships/hyperlink" Target="AppTest1.png" TargetMode="External"/><Relationship Id="rId11" Type="http://schemas.openxmlformats.org/officeDocument/2006/relationships/drawing" Target="../drawings/drawing4.xml"/><Relationship Id="rId5" Type="http://schemas.openxmlformats.org/officeDocument/2006/relationships/hyperlink" Target="celtofah.png" TargetMode="External"/><Relationship Id="rId10" Type="http://schemas.openxmlformats.org/officeDocument/2006/relationships/printerSettings" Target="../printerSettings/printerSettings4.bin"/><Relationship Id="rId4" Type="http://schemas.openxmlformats.org/officeDocument/2006/relationships/hyperlink" Target="http://www.programcreek.com/java-api-examples/android.view.View.OnKeyListener" TargetMode="External"/><Relationship Id="rId9" Type="http://schemas.openxmlformats.org/officeDocument/2006/relationships/hyperlink" Target="https://stackoverflow.com/questions/15082432/how-to-create-button-dynamically-in-android" TargetMode="Externa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7" zoomScaleNormal="100" workbookViewId="0">
      <selection activeCell="C36" sqref="C36"/>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8" t="s">
        <v>19</v>
      </c>
      <c r="C19" s="129"/>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54</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8"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7" t="s">
        <v>37</v>
      </c>
      <c r="D31" s="37"/>
      <c r="E31" s="37"/>
      <c r="F31" s="37"/>
      <c r="G31" s="34"/>
      <c r="H31" s="1"/>
      <c r="I31" s="1"/>
      <c r="J31" s="1"/>
      <c r="K31" s="1"/>
      <c r="L31" s="1"/>
      <c r="M31" s="1"/>
    </row>
    <row r="32" spans="1:13" ht="19.5" x14ac:dyDescent="0.2">
      <c r="A32" s="52"/>
      <c r="B32" s="67">
        <v>12</v>
      </c>
      <c r="C32" s="27" t="s">
        <v>45</v>
      </c>
      <c r="D32" s="37"/>
      <c r="E32" s="37"/>
      <c r="F32" s="37"/>
      <c r="G32" s="34"/>
      <c r="H32" s="1"/>
      <c r="I32" s="1"/>
      <c r="J32" s="1"/>
      <c r="K32" s="1"/>
      <c r="L32" s="1"/>
      <c r="M32" s="1"/>
    </row>
    <row r="33" spans="1:13" ht="19.5" x14ac:dyDescent="0.2">
      <c r="A33" s="52"/>
      <c r="B33" s="66">
        <v>13</v>
      </c>
      <c r="C33" s="28" t="s">
        <v>57</v>
      </c>
      <c r="D33" s="37"/>
      <c r="E33" s="37"/>
      <c r="F33" s="37"/>
      <c r="G33" s="34"/>
      <c r="H33" s="1"/>
      <c r="I33" s="1"/>
      <c r="J33" s="1"/>
      <c r="K33" s="1"/>
      <c r="L33" s="1"/>
      <c r="M33" s="1"/>
    </row>
    <row r="34" spans="1:13" ht="19.5" x14ac:dyDescent="0.2">
      <c r="A34" s="52"/>
      <c r="B34" s="66">
        <v>14</v>
      </c>
      <c r="C34" s="28" t="s">
        <v>27</v>
      </c>
      <c r="D34" s="37"/>
      <c r="E34" s="37"/>
      <c r="F34" s="37"/>
      <c r="G34" s="34"/>
      <c r="H34" s="1"/>
      <c r="I34" s="1"/>
      <c r="J34" s="1"/>
      <c r="K34" s="1"/>
      <c r="L34" s="1"/>
      <c r="M34" s="1"/>
    </row>
    <row r="35" spans="1:13" ht="19.5" x14ac:dyDescent="0.2">
      <c r="A35" s="52"/>
      <c r="B35" s="67">
        <v>15</v>
      </c>
      <c r="C35" s="28" t="s">
        <v>38</v>
      </c>
      <c r="D35" s="37"/>
      <c r="E35" s="37"/>
      <c r="F35" s="37"/>
      <c r="G35" s="34"/>
      <c r="H35" s="1"/>
      <c r="I35" s="1"/>
      <c r="J35" s="1"/>
      <c r="K35" s="1"/>
      <c r="L35" s="1"/>
      <c r="M35" s="1"/>
    </row>
    <row r="36" spans="1:13" ht="19.5" x14ac:dyDescent="0.2">
      <c r="A36" s="52"/>
      <c r="B36" s="66">
        <v>16</v>
      </c>
      <c r="C36" s="28" t="s">
        <v>96</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view="pageBreakPreview" zoomScale="60" zoomScaleNormal="100" workbookViewId="0">
      <selection activeCell="B1" sqref="B1"/>
    </sheetView>
  </sheetViews>
  <sheetFormatPr baseColWidth="10" defaultColWidth="1.5703125" defaultRowHeight="19.5" customHeight="1" x14ac:dyDescent="0.2"/>
  <cols>
    <col min="1" max="1" width="17.855468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32" t="s">
        <v>41</v>
      </c>
      <c r="E2" s="133"/>
      <c r="F2" s="133"/>
      <c r="G2" s="133"/>
      <c r="H2" s="133"/>
      <c r="I2" s="133"/>
      <c r="J2" s="133"/>
      <c r="K2" s="133"/>
      <c r="L2" s="133"/>
      <c r="M2" s="133"/>
      <c r="N2" s="133"/>
      <c r="O2" s="133"/>
      <c r="P2" s="133"/>
      <c r="Q2" s="133"/>
      <c r="R2" s="133"/>
      <c r="S2" s="133"/>
      <c r="T2" s="133"/>
      <c r="U2" s="133"/>
      <c r="V2" s="133"/>
      <c r="W2" s="133"/>
      <c r="X2" s="133"/>
      <c r="Y2" s="133"/>
      <c r="Z2" s="133"/>
      <c r="AA2" s="133"/>
      <c r="AB2" s="133"/>
      <c r="AC2" s="133"/>
      <c r="AD2" s="133"/>
      <c r="AE2" s="133"/>
      <c r="AF2" s="133"/>
      <c r="AG2" s="133"/>
      <c r="AH2" s="133"/>
      <c r="AI2" s="133"/>
      <c r="AJ2" s="133"/>
      <c r="AK2" s="133"/>
      <c r="AL2" s="133"/>
      <c r="AM2" s="133"/>
      <c r="AN2" s="133"/>
      <c r="AO2" s="133"/>
      <c r="AP2" s="133"/>
      <c r="AQ2" s="133"/>
      <c r="AR2" s="133"/>
      <c r="AS2" s="133"/>
      <c r="AT2" s="133"/>
      <c r="AU2" s="133"/>
      <c r="AV2" s="133"/>
      <c r="AW2" s="133"/>
      <c r="AX2" s="133"/>
      <c r="AY2" s="133"/>
      <c r="AZ2" s="133"/>
      <c r="BA2" s="133"/>
      <c r="BB2" s="133"/>
      <c r="BC2" s="133"/>
      <c r="BD2" s="133"/>
      <c r="BE2" s="133"/>
      <c r="BF2" s="133"/>
      <c r="BG2" s="133"/>
      <c r="BH2" s="133"/>
      <c r="BI2" s="133"/>
      <c r="BJ2" s="133"/>
      <c r="BK2" s="133"/>
      <c r="BL2" s="133"/>
      <c r="BM2" s="133"/>
      <c r="BN2" s="133"/>
      <c r="BO2" s="133"/>
      <c r="BP2" s="133"/>
      <c r="BQ2" s="133"/>
      <c r="BR2" s="133"/>
      <c r="BS2" s="133"/>
      <c r="BT2" s="133"/>
      <c r="BU2" s="133"/>
      <c r="BV2" s="133"/>
      <c r="BW2" s="133"/>
      <c r="BX2" s="133"/>
      <c r="BY2" s="133"/>
      <c r="BZ2" s="133"/>
      <c r="CA2" s="133"/>
      <c r="CB2" s="133"/>
      <c r="CC2" s="133"/>
      <c r="CD2" s="133"/>
      <c r="CE2" s="133"/>
      <c r="CF2" s="133"/>
      <c r="CG2" s="133"/>
      <c r="CH2" s="133"/>
      <c r="CI2" s="133"/>
      <c r="CJ2" s="133"/>
      <c r="CK2" s="133"/>
      <c r="CL2" s="133"/>
      <c r="CM2" s="133"/>
      <c r="CN2" s="133"/>
      <c r="CO2" s="134"/>
      <c r="CP2" s="132" t="s">
        <v>42</v>
      </c>
      <c r="CQ2" s="133"/>
      <c r="CR2" s="133"/>
      <c r="CS2" s="133"/>
      <c r="CT2" s="133"/>
      <c r="CU2" s="133"/>
      <c r="CV2" s="133"/>
      <c r="CW2" s="133"/>
      <c r="CX2" s="133"/>
      <c r="CY2" s="133"/>
      <c r="CZ2" s="133"/>
      <c r="DA2" s="133"/>
      <c r="DB2" s="133"/>
      <c r="DC2" s="133"/>
      <c r="DD2" s="133"/>
      <c r="DE2" s="133"/>
      <c r="DF2" s="133"/>
      <c r="DG2" s="133"/>
      <c r="DH2" s="133"/>
      <c r="DI2" s="133"/>
      <c r="DJ2" s="133"/>
      <c r="DK2" s="133"/>
      <c r="DL2" s="133"/>
      <c r="DM2" s="133"/>
      <c r="DN2" s="133"/>
      <c r="DO2" s="133"/>
      <c r="DP2" s="133"/>
      <c r="DQ2" s="133"/>
      <c r="DR2" s="133"/>
      <c r="DS2" s="133"/>
      <c r="DT2" s="133"/>
      <c r="DU2" s="133"/>
      <c r="DV2" s="133"/>
      <c r="DW2" s="133"/>
      <c r="DX2" s="133"/>
      <c r="DY2" s="133"/>
      <c r="DZ2" s="133"/>
      <c r="EA2" s="133"/>
      <c r="EB2" s="133"/>
      <c r="EC2" s="133"/>
      <c r="ED2" s="133"/>
      <c r="EE2" s="133"/>
      <c r="EF2" s="133"/>
      <c r="EG2" s="133"/>
      <c r="EH2" s="133"/>
      <c r="EI2" s="133"/>
      <c r="EJ2" s="133"/>
      <c r="EK2" s="133"/>
      <c r="EL2" s="133"/>
      <c r="EM2" s="133"/>
      <c r="EN2" s="133"/>
      <c r="EO2" s="133"/>
      <c r="EP2" s="133"/>
      <c r="EQ2" s="133"/>
      <c r="ER2" s="133"/>
      <c r="ES2" s="133"/>
      <c r="ET2" s="133"/>
      <c r="EU2" s="133"/>
      <c r="EV2" s="133"/>
      <c r="EW2" s="133"/>
      <c r="EX2" s="133"/>
      <c r="EY2" s="133"/>
      <c r="EZ2" s="133"/>
      <c r="FA2" s="133"/>
      <c r="FB2" s="133"/>
      <c r="FC2" s="133"/>
      <c r="FD2" s="133"/>
      <c r="FE2" s="133"/>
      <c r="FF2" s="133"/>
      <c r="FG2" s="133"/>
      <c r="FH2" s="133"/>
      <c r="FI2" s="133"/>
      <c r="FJ2" s="133"/>
      <c r="FK2" s="133"/>
      <c r="FL2" s="133"/>
      <c r="FM2" s="133"/>
      <c r="FN2" s="133"/>
      <c r="FO2" s="133"/>
      <c r="FP2" s="133"/>
      <c r="FQ2" s="133"/>
      <c r="FR2" s="133"/>
      <c r="FS2" s="133"/>
      <c r="FT2" s="133"/>
      <c r="FU2" s="133"/>
      <c r="FV2" s="133"/>
      <c r="FW2" s="133"/>
      <c r="FX2" s="133"/>
      <c r="FY2" s="133"/>
      <c r="FZ2" s="133"/>
      <c r="GA2" s="134"/>
      <c r="GB2" s="132" t="s">
        <v>43</v>
      </c>
      <c r="GC2" s="133"/>
      <c r="GD2" s="133"/>
      <c r="GE2" s="133"/>
      <c r="GF2" s="133"/>
      <c r="GG2" s="133"/>
      <c r="GH2" s="133"/>
      <c r="GI2" s="133"/>
      <c r="GJ2" s="133"/>
      <c r="GK2" s="133"/>
      <c r="GL2" s="133"/>
      <c r="GM2" s="133"/>
      <c r="GN2" s="133"/>
      <c r="GO2" s="133"/>
      <c r="GP2" s="133"/>
      <c r="GQ2" s="133"/>
      <c r="GR2" s="133"/>
      <c r="GS2" s="133"/>
      <c r="GT2" s="133"/>
      <c r="GU2" s="133"/>
      <c r="GV2" s="133"/>
      <c r="GW2" s="133"/>
      <c r="GX2" s="133"/>
      <c r="GY2" s="133"/>
      <c r="GZ2" s="133"/>
      <c r="HA2" s="133"/>
      <c r="HB2" s="133"/>
      <c r="HC2" s="133"/>
      <c r="HD2" s="133"/>
      <c r="HE2" s="133"/>
      <c r="HF2" s="133"/>
      <c r="HG2" s="133"/>
      <c r="HH2" s="133"/>
      <c r="HI2" s="133"/>
      <c r="HJ2" s="133"/>
      <c r="HK2" s="133"/>
      <c r="HL2" s="133"/>
      <c r="HM2" s="133"/>
      <c r="HN2" s="133"/>
      <c r="HO2" s="133"/>
      <c r="HP2" s="133"/>
      <c r="HQ2" s="133"/>
      <c r="HR2" s="133"/>
      <c r="HS2" s="133"/>
      <c r="HT2" s="133"/>
      <c r="HU2" s="133"/>
      <c r="HV2" s="133"/>
      <c r="HW2" s="133"/>
      <c r="HX2" s="133"/>
      <c r="HY2" s="133"/>
      <c r="HZ2" s="133"/>
      <c r="IA2" s="133"/>
      <c r="IB2" s="133"/>
      <c r="IC2" s="133"/>
      <c r="ID2" s="133"/>
      <c r="IE2" s="133"/>
      <c r="IF2" s="133"/>
      <c r="IG2" s="133"/>
      <c r="IH2" s="133"/>
      <c r="II2" s="133"/>
      <c r="IJ2" s="133"/>
      <c r="IK2" s="133"/>
      <c r="IL2" s="133"/>
      <c r="IM2" s="133"/>
      <c r="IN2" s="133"/>
      <c r="IO2" s="133"/>
      <c r="IP2" s="133"/>
      <c r="IQ2" s="133"/>
      <c r="IR2" s="133"/>
      <c r="IS2" s="133"/>
      <c r="IT2" s="133"/>
      <c r="IU2" s="133"/>
      <c r="IV2" s="133"/>
      <c r="IW2" s="133"/>
      <c r="IX2" s="133"/>
      <c r="IY2" s="133"/>
      <c r="IZ2" s="133"/>
      <c r="JA2" s="133"/>
      <c r="JB2" s="133"/>
      <c r="JC2" s="133"/>
      <c r="JD2" s="133"/>
      <c r="JE2" s="133"/>
      <c r="JF2" s="133"/>
      <c r="JG2" s="133"/>
      <c r="JH2" s="133"/>
      <c r="JI2" s="133"/>
      <c r="JJ2" s="133"/>
      <c r="JK2" s="133"/>
      <c r="JL2" s="133"/>
      <c r="JM2" s="134"/>
      <c r="JN2" s="132" t="s">
        <v>44</v>
      </c>
      <c r="JO2" s="133"/>
      <c r="JP2" s="133"/>
      <c r="JQ2" s="133"/>
      <c r="JR2" s="133"/>
      <c r="JS2" s="133"/>
      <c r="JT2" s="133"/>
      <c r="JU2" s="133"/>
      <c r="JV2" s="133"/>
      <c r="JW2" s="133"/>
      <c r="JX2" s="133"/>
      <c r="JY2" s="133"/>
      <c r="JZ2" s="133"/>
      <c r="KA2" s="133"/>
      <c r="KB2" s="133"/>
      <c r="KC2" s="133"/>
      <c r="KD2" s="133"/>
      <c r="KE2" s="133"/>
      <c r="KF2" s="133"/>
      <c r="KG2" s="133"/>
      <c r="KH2" s="133"/>
      <c r="KI2" s="133"/>
      <c r="KJ2" s="133"/>
      <c r="KK2" s="133"/>
      <c r="KL2" s="133"/>
      <c r="KM2" s="133"/>
      <c r="KN2" s="133"/>
      <c r="KO2" s="133"/>
      <c r="KP2" s="133"/>
      <c r="KQ2" s="133"/>
      <c r="KR2" s="133"/>
      <c r="KS2" s="133"/>
      <c r="KT2" s="133"/>
      <c r="KU2" s="133"/>
      <c r="KV2" s="133"/>
      <c r="KW2" s="133"/>
      <c r="KX2" s="133"/>
      <c r="KY2" s="133"/>
      <c r="KZ2" s="133"/>
      <c r="LA2" s="133"/>
      <c r="LB2" s="133"/>
      <c r="LC2" s="133"/>
      <c r="LD2" s="133"/>
      <c r="LE2" s="133"/>
      <c r="LF2" s="133"/>
      <c r="LG2" s="133"/>
      <c r="LH2" s="133"/>
      <c r="LI2" s="133"/>
      <c r="LJ2" s="133"/>
      <c r="LK2" s="133"/>
      <c r="LL2" s="133"/>
      <c r="LM2" s="133"/>
      <c r="LN2" s="133"/>
      <c r="LO2" s="133"/>
      <c r="LP2" s="133"/>
      <c r="LQ2" s="133"/>
      <c r="LR2" s="133"/>
      <c r="LS2" s="133"/>
      <c r="LT2" s="133"/>
      <c r="LU2" s="133"/>
      <c r="LV2" s="133"/>
      <c r="LW2" s="133"/>
      <c r="LX2" s="133"/>
      <c r="LY2" s="133"/>
      <c r="LZ2" s="133"/>
      <c r="MA2" s="133"/>
      <c r="MB2" s="133"/>
      <c r="MC2" s="133"/>
      <c r="MD2" s="133"/>
      <c r="ME2" s="133"/>
      <c r="MF2" s="133"/>
      <c r="MG2" s="133"/>
      <c r="MH2" s="133"/>
      <c r="MI2" s="133"/>
      <c r="MJ2" s="133"/>
      <c r="MK2" s="133"/>
      <c r="ML2" s="133"/>
      <c r="MM2" s="133"/>
      <c r="MN2" s="133"/>
      <c r="MO2" s="133"/>
      <c r="MP2" s="133"/>
      <c r="MQ2" s="133"/>
      <c r="MR2" s="133"/>
      <c r="MS2" s="133"/>
      <c r="MT2" s="133"/>
      <c r="MU2" s="133"/>
      <c r="MV2" s="133"/>
      <c r="MW2" s="133"/>
      <c r="MX2" s="133"/>
      <c r="MY2" s="134"/>
    </row>
    <row r="3" spans="1:363" ht="19.5" customHeight="1" x14ac:dyDescent="0.2">
      <c r="A3" s="88"/>
      <c r="B3" s="135" t="s">
        <v>21</v>
      </c>
      <c r="C3" s="30">
        <v>0</v>
      </c>
      <c r="D3" s="89"/>
      <c r="E3" s="90"/>
      <c r="F3" s="91"/>
      <c r="G3" s="92"/>
      <c r="H3" s="90"/>
      <c r="I3" s="91"/>
      <c r="J3" s="92"/>
      <c r="K3" s="90"/>
      <c r="L3" s="91"/>
      <c r="M3" s="92"/>
      <c r="N3" s="90"/>
      <c r="O3" s="91"/>
      <c r="P3" s="92"/>
      <c r="Q3" s="90"/>
      <c r="R3" s="91"/>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89"/>
      <c r="CQ3" s="90"/>
      <c r="CR3" s="91"/>
      <c r="CS3" s="92"/>
      <c r="CT3" s="90"/>
      <c r="CU3" s="91"/>
      <c r="CV3" s="92"/>
      <c r="CW3" s="90"/>
      <c r="CX3" s="91"/>
      <c r="CY3" s="92"/>
      <c r="CZ3" s="90"/>
      <c r="DA3" s="91"/>
      <c r="DB3" s="92"/>
      <c r="DC3" s="90"/>
      <c r="DD3" s="91"/>
      <c r="DE3" s="92"/>
      <c r="DF3" s="90"/>
      <c r="DG3" s="91"/>
      <c r="DH3" s="92"/>
      <c r="DI3" s="90"/>
      <c r="DJ3" s="91"/>
      <c r="DK3" s="92"/>
      <c r="DL3" s="90"/>
      <c r="DM3" s="91"/>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92"/>
      <c r="GO3" s="90"/>
      <c r="GP3" s="91"/>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92"/>
      <c r="KA3" s="90"/>
      <c r="KB3" s="91"/>
      <c r="KC3" s="92"/>
      <c r="KD3" s="90"/>
      <c r="KE3" s="91"/>
      <c r="KF3" s="92"/>
      <c r="KG3" s="90"/>
      <c r="KH3" s="91"/>
      <c r="KI3" s="92"/>
      <c r="KJ3" s="90"/>
      <c r="KK3" s="91"/>
      <c r="KL3" s="92"/>
      <c r="KM3" s="90"/>
      <c r="KN3" s="91"/>
      <c r="KO3" s="92"/>
      <c r="KP3" s="90"/>
      <c r="KQ3" s="91"/>
      <c r="KR3" s="92"/>
      <c r="KS3" s="90"/>
      <c r="KT3" s="91"/>
      <c r="KU3" s="92"/>
      <c r="KV3" s="90"/>
      <c r="KW3" s="91"/>
      <c r="KX3" s="92"/>
      <c r="KY3" s="90"/>
      <c r="KZ3" s="91"/>
      <c r="LA3" s="92"/>
      <c r="LB3" s="90"/>
      <c r="LC3" s="91"/>
      <c r="LD3" s="92"/>
      <c r="LE3" s="90"/>
      <c r="LF3" s="91"/>
      <c r="LG3" s="92"/>
      <c r="LH3" s="90"/>
      <c r="LI3" s="91"/>
      <c r="LJ3" s="92"/>
      <c r="LK3" s="90"/>
      <c r="LL3" s="91"/>
      <c r="LM3" s="92"/>
      <c r="LN3" s="90"/>
      <c r="LO3" s="91"/>
      <c r="LP3" s="92"/>
      <c r="LQ3" s="90"/>
      <c r="LR3" s="91"/>
      <c r="LS3" s="92"/>
      <c r="LT3" s="90"/>
      <c r="LU3" s="91"/>
      <c r="LV3" s="92"/>
      <c r="LW3" s="90"/>
      <c r="LX3" s="91"/>
      <c r="LY3" s="92"/>
      <c r="LZ3" s="90"/>
      <c r="MA3" s="91"/>
      <c r="MB3" s="92"/>
      <c r="MC3" s="90"/>
      <c r="MD3" s="91"/>
      <c r="ME3" s="92"/>
      <c r="MF3" s="90"/>
      <c r="MG3" s="91"/>
      <c r="MH3" s="92"/>
      <c r="MI3" s="90"/>
      <c r="MJ3" s="91"/>
      <c r="MK3" s="92"/>
      <c r="ML3" s="90"/>
      <c r="MM3" s="91"/>
      <c r="MN3" s="92"/>
      <c r="MO3" s="90"/>
      <c r="MP3" s="91"/>
      <c r="MQ3" s="92"/>
      <c r="MR3" s="90"/>
      <c r="MS3" s="91"/>
      <c r="MT3" s="92"/>
      <c r="MU3" s="90"/>
      <c r="MV3" s="91"/>
      <c r="MW3" s="92"/>
      <c r="MX3" s="90"/>
      <c r="MY3" s="93"/>
    </row>
    <row r="4" spans="1:363" ht="19.5" customHeight="1" thickBot="1" x14ac:dyDescent="0.25">
      <c r="A4" s="88"/>
      <c r="B4" s="136"/>
      <c r="C4" s="44">
        <v>0</v>
      </c>
      <c r="D4" s="94"/>
      <c r="E4" s="95"/>
      <c r="F4" s="96"/>
      <c r="G4" s="97"/>
      <c r="H4" s="95"/>
      <c r="I4" s="96"/>
      <c r="J4" s="97"/>
      <c r="K4" s="95"/>
      <c r="L4" s="96"/>
      <c r="M4" s="97"/>
      <c r="N4" s="95"/>
      <c r="O4" s="96"/>
      <c r="P4" s="97"/>
      <c r="Q4" s="95"/>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97"/>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94"/>
      <c r="CQ4" s="95"/>
      <c r="CR4" s="96"/>
      <c r="CS4" s="97"/>
      <c r="CT4" s="95"/>
      <c r="CU4" s="96"/>
      <c r="CV4" s="97"/>
      <c r="CW4" s="95"/>
      <c r="CX4" s="96"/>
      <c r="CY4" s="97"/>
      <c r="CZ4" s="95"/>
      <c r="DA4" s="96"/>
      <c r="DB4" s="97"/>
      <c r="DC4" s="95"/>
      <c r="DD4" s="96"/>
      <c r="DE4" s="97"/>
      <c r="DF4" s="95"/>
      <c r="DG4" s="96"/>
      <c r="DH4" s="97"/>
      <c r="DI4" s="95"/>
      <c r="DJ4" s="96"/>
      <c r="DK4" s="97"/>
      <c r="DL4" s="95"/>
      <c r="DM4" s="96"/>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37" t="str">
        <f>Donnees!$C$21</f>
        <v>Découverte du programme</v>
      </c>
      <c r="C5" s="99">
        <v>0</v>
      </c>
      <c r="D5" s="89"/>
      <c r="E5" s="90"/>
      <c r="F5" s="91"/>
      <c r="G5" s="92"/>
      <c r="H5" s="90"/>
      <c r="I5" s="91"/>
      <c r="J5" s="92"/>
      <c r="K5" s="90"/>
      <c r="L5" s="91"/>
      <c r="M5" s="92"/>
      <c r="N5" s="90"/>
      <c r="O5" s="91"/>
      <c r="P5" s="92"/>
      <c r="Q5" s="90"/>
      <c r="R5" s="91"/>
      <c r="S5" s="92"/>
      <c r="T5" s="90"/>
      <c r="U5" s="91"/>
      <c r="V5" s="92"/>
      <c r="W5" s="90"/>
      <c r="X5" s="91"/>
      <c r="Y5" s="92"/>
      <c r="Z5" s="90"/>
      <c r="AA5" s="91"/>
      <c r="AB5" s="92"/>
      <c r="AC5" s="90"/>
      <c r="AD5" s="91"/>
      <c r="AE5" s="92"/>
      <c r="AF5" s="90"/>
      <c r="AG5" s="91"/>
      <c r="AH5" s="92"/>
      <c r="AI5" s="90"/>
      <c r="AJ5" s="91"/>
      <c r="AK5" s="92"/>
      <c r="AL5" s="90"/>
      <c r="AM5" s="91"/>
      <c r="AN5" s="92"/>
      <c r="AO5" s="90"/>
      <c r="AP5" s="91"/>
      <c r="AQ5" s="92"/>
      <c r="AR5" s="90"/>
      <c r="AS5" s="91"/>
      <c r="AT5" s="92"/>
      <c r="AU5" s="90"/>
      <c r="AV5" s="91"/>
      <c r="AW5" s="92"/>
      <c r="AX5" s="90"/>
      <c r="AY5" s="91"/>
      <c r="AZ5" s="92"/>
      <c r="BA5" s="90"/>
      <c r="BB5" s="91"/>
      <c r="BC5" s="92"/>
      <c r="BD5" s="90"/>
      <c r="BE5" s="91"/>
      <c r="BF5" s="92"/>
      <c r="BG5" s="90"/>
      <c r="BH5" s="91"/>
      <c r="BI5" s="92"/>
      <c r="BJ5" s="90"/>
      <c r="BK5" s="91"/>
      <c r="BL5" s="92"/>
      <c r="BM5" s="90"/>
      <c r="BN5" s="91"/>
      <c r="BO5" s="92"/>
      <c r="BP5" s="90"/>
      <c r="BQ5" s="91"/>
      <c r="BR5" s="92"/>
      <c r="BS5" s="90"/>
      <c r="BT5" s="91"/>
      <c r="BU5" s="92"/>
      <c r="BV5" s="90"/>
      <c r="BW5" s="91"/>
      <c r="BX5" s="92"/>
      <c r="BY5" s="90"/>
      <c r="BZ5" s="91"/>
      <c r="CA5" s="92"/>
      <c r="CB5" s="90"/>
      <c r="CC5" s="91"/>
      <c r="CD5" s="92"/>
      <c r="CE5" s="90"/>
      <c r="CF5" s="91"/>
      <c r="CG5" s="92"/>
      <c r="CH5" s="90"/>
      <c r="CI5" s="91"/>
      <c r="CJ5" s="92"/>
      <c r="CK5" s="90"/>
      <c r="CL5" s="91"/>
      <c r="CM5" s="92"/>
      <c r="CN5" s="90"/>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31"/>
      <c r="C6" s="100">
        <v>0</v>
      </c>
      <c r="D6" s="94"/>
      <c r="E6" s="95"/>
      <c r="F6" s="96"/>
      <c r="G6" s="97"/>
      <c r="H6" s="95"/>
      <c r="I6" s="96"/>
      <c r="J6" s="97"/>
      <c r="K6" s="95"/>
      <c r="L6" s="96"/>
      <c r="M6" s="97"/>
      <c r="N6" s="95"/>
      <c r="O6" s="96"/>
      <c r="P6" s="97"/>
      <c r="Q6" s="95"/>
      <c r="R6" s="96"/>
      <c r="S6" s="97"/>
      <c r="T6" s="95"/>
      <c r="U6" s="96"/>
      <c r="V6" s="97"/>
      <c r="W6" s="95"/>
      <c r="X6" s="96"/>
      <c r="Y6" s="97"/>
      <c r="Z6" s="95"/>
      <c r="AA6" s="96"/>
      <c r="AB6" s="97"/>
      <c r="AC6" s="95"/>
      <c r="AD6" s="96"/>
      <c r="AE6" s="97"/>
      <c r="AF6" s="95"/>
      <c r="AG6" s="96"/>
      <c r="AH6" s="97"/>
      <c r="AI6" s="95"/>
      <c r="AJ6" s="96"/>
      <c r="AK6" s="97"/>
      <c r="AL6" s="95"/>
      <c r="AM6" s="96"/>
      <c r="AN6" s="97"/>
      <c r="AO6" s="95"/>
      <c r="AP6" s="96"/>
      <c r="AQ6" s="97"/>
      <c r="AR6" s="95"/>
      <c r="AS6" s="96"/>
      <c r="AT6" s="97"/>
      <c r="AU6" s="95"/>
      <c r="AV6" s="96"/>
      <c r="AW6" s="97"/>
      <c r="AX6" s="95"/>
      <c r="AY6" s="96"/>
      <c r="AZ6" s="97"/>
      <c r="BA6" s="95"/>
      <c r="BB6" s="96"/>
      <c r="BC6" s="97"/>
      <c r="BD6" s="95"/>
      <c r="BE6" s="96"/>
      <c r="BF6" s="97"/>
      <c r="BG6" s="95"/>
      <c r="BH6" s="96"/>
      <c r="BI6" s="97"/>
      <c r="BJ6" s="95"/>
      <c r="BK6" s="96"/>
      <c r="BL6" s="97"/>
      <c r="BM6" s="95"/>
      <c r="BN6" s="96"/>
      <c r="BO6" s="97"/>
      <c r="BP6" s="95"/>
      <c r="BQ6" s="96"/>
      <c r="BR6" s="97"/>
      <c r="BS6" s="95"/>
      <c r="BT6" s="96"/>
      <c r="BU6" s="97"/>
      <c r="BV6" s="95"/>
      <c r="BW6" s="96"/>
      <c r="BX6" s="97"/>
      <c r="BY6" s="95"/>
      <c r="BZ6" s="96"/>
      <c r="CA6" s="97"/>
      <c r="CB6" s="95"/>
      <c r="CC6" s="96"/>
      <c r="CD6" s="97"/>
      <c r="CE6" s="95"/>
      <c r="CF6" s="96"/>
      <c r="CG6" s="97"/>
      <c r="CH6" s="95"/>
      <c r="CI6" s="96"/>
      <c r="CJ6" s="97"/>
      <c r="CK6" s="95"/>
      <c r="CL6" s="96"/>
      <c r="CM6" s="97"/>
      <c r="CN6" s="95"/>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30" t="str">
        <f>Donnees!$C$22</f>
        <v>Recherche</v>
      </c>
      <c r="C7" s="99">
        <v>0</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92"/>
      <c r="BG7" s="90"/>
      <c r="BH7" s="91"/>
      <c r="BI7" s="92"/>
      <c r="BJ7" s="90"/>
      <c r="BK7" s="91"/>
      <c r="BL7" s="92"/>
      <c r="BM7" s="90"/>
      <c r="BN7" s="91"/>
      <c r="BO7" s="92"/>
      <c r="BP7" s="90"/>
      <c r="BQ7" s="91"/>
      <c r="BR7" s="92"/>
      <c r="BS7" s="90"/>
      <c r="BT7" s="91"/>
      <c r="BU7" s="92"/>
      <c r="BV7" s="90"/>
      <c r="BW7" s="91"/>
      <c r="BX7" s="92"/>
      <c r="BY7" s="90"/>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90"/>
      <c r="EZ7" s="91"/>
      <c r="FA7" s="92"/>
      <c r="FB7" s="90"/>
      <c r="FC7" s="91"/>
      <c r="FD7" s="92"/>
      <c r="FE7" s="90"/>
      <c r="FF7" s="91"/>
      <c r="FG7" s="92"/>
      <c r="FH7" s="90"/>
      <c r="FI7" s="91"/>
      <c r="FJ7" s="92"/>
      <c r="FK7" s="90"/>
      <c r="FL7" s="91"/>
      <c r="FM7" s="92"/>
      <c r="FN7" s="90"/>
      <c r="FO7" s="91"/>
      <c r="FP7" s="92"/>
      <c r="FQ7" s="90"/>
      <c r="FR7" s="91"/>
      <c r="FS7" s="92"/>
      <c r="FT7" s="90"/>
      <c r="FU7" s="91"/>
      <c r="FV7" s="92"/>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31"/>
      <c r="C8" s="100">
        <v>0</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30" t="str">
        <f>Donnees!$C$23</f>
        <v>Création de l'application</v>
      </c>
      <c r="C9" s="99">
        <v>0</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92"/>
      <c r="DR9" s="90"/>
      <c r="DS9" s="91"/>
      <c r="DT9" s="92"/>
      <c r="DU9" s="90"/>
      <c r="DV9" s="91"/>
      <c r="DW9" s="92"/>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31"/>
      <c r="C10" s="100">
        <v>0</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96"/>
      <c r="CA10" s="97"/>
      <c r="CB10" s="95"/>
      <c r="CC10" s="96"/>
      <c r="CD10" s="97"/>
      <c r="CE10" s="95"/>
      <c r="CF10" s="96"/>
      <c r="CG10" s="97"/>
      <c r="CH10" s="95"/>
      <c r="CI10" s="96"/>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30" t="str">
        <f>Donnees!$C$24</f>
        <v>Création des options</v>
      </c>
      <c r="C11" s="99">
        <v>0</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92"/>
      <c r="EA11" s="90"/>
      <c r="EB11" s="91"/>
      <c r="EC11" s="92"/>
      <c r="ED11" s="90"/>
      <c r="EE11" s="91"/>
      <c r="EF11" s="92"/>
      <c r="EG11" s="90"/>
      <c r="EH11" s="91"/>
      <c r="EI11" s="92"/>
      <c r="EJ11" s="90"/>
      <c r="EK11" s="91"/>
      <c r="EL11" s="92"/>
      <c r="EM11" s="90"/>
      <c r="EN11" s="91"/>
      <c r="EO11" s="92"/>
      <c r="EP11" s="90"/>
      <c r="EQ11" s="91"/>
      <c r="ER11" s="92"/>
      <c r="ES11" s="90"/>
      <c r="ET11" s="91"/>
      <c r="EU11" s="92"/>
      <c r="EV11" s="90"/>
      <c r="EW11" s="91"/>
      <c r="EX11" s="92"/>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31"/>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30" t="str">
        <f>Donnees!$C$25</f>
        <v>Création grille de notes</v>
      </c>
      <c r="C13" s="99">
        <v>0</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31"/>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30" t="str">
        <f>Donnees!$C$26</f>
        <v>Création de grille adaptée</v>
      </c>
      <c r="C15" s="99">
        <v>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31"/>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30" t="str">
        <f>Donnees!$C$27</f>
        <v>Insertion Module, notes</v>
      </c>
      <c r="C17" s="99">
        <v>0</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92"/>
      <c r="FB17" s="90"/>
      <c r="FC17" s="91"/>
      <c r="FD17" s="92"/>
      <c r="FE17" s="90"/>
      <c r="FF17" s="91"/>
      <c r="FG17" s="92"/>
      <c r="FH17" s="90"/>
      <c r="FI17" s="91"/>
      <c r="FJ17" s="92"/>
      <c r="FK17" s="90"/>
      <c r="FL17" s="91"/>
      <c r="FM17" s="92"/>
      <c r="FN17" s="90"/>
      <c r="FO17" s="91"/>
      <c r="FP17" s="92"/>
      <c r="FQ17" s="90"/>
      <c r="FR17" s="91"/>
      <c r="FS17" s="92"/>
      <c r="FT17" s="90"/>
      <c r="FU17" s="91"/>
      <c r="FV17" s="92"/>
      <c r="FW17" s="90"/>
      <c r="FX17" s="91"/>
      <c r="FY17" s="92"/>
      <c r="FZ17" s="90"/>
      <c r="GA17" s="93"/>
      <c r="GB17" s="89"/>
      <c r="GC17" s="90"/>
      <c r="GD17" s="91"/>
      <c r="GE17" s="92"/>
      <c r="GF17" s="90"/>
      <c r="GG17" s="91"/>
      <c r="GH17" s="92"/>
      <c r="GI17" s="90"/>
      <c r="GJ17" s="91"/>
      <c r="GK17" s="92"/>
      <c r="GL17" s="90"/>
      <c r="GM17" s="91"/>
      <c r="GN17" s="92"/>
      <c r="GO17" s="90"/>
      <c r="GP17" s="91"/>
      <c r="GQ17" s="92"/>
      <c r="GR17" s="90"/>
      <c r="GS17" s="91"/>
      <c r="GT17" s="92"/>
      <c r="GU17" s="90"/>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89"/>
      <c r="JO17" s="90"/>
      <c r="JP17" s="91"/>
      <c r="JQ17" s="92"/>
      <c r="JR17" s="90"/>
      <c r="JS17" s="91"/>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31"/>
      <c r="C18" s="100">
        <v>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30" t="str">
        <f>Donnees!$C$28</f>
        <v>Calcule automatique des moyennes</v>
      </c>
      <c r="C19" s="99">
        <v>0</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92"/>
      <c r="GR19" s="90"/>
      <c r="GS19" s="91"/>
      <c r="GT19" s="92"/>
      <c r="GU19" s="90"/>
      <c r="GV19" s="91"/>
      <c r="GW19" s="92"/>
      <c r="GX19" s="90"/>
      <c r="GY19" s="91"/>
      <c r="GZ19" s="92"/>
      <c r="HA19" s="90"/>
      <c r="HB19" s="91"/>
      <c r="HC19" s="92"/>
      <c r="HD19" s="90"/>
      <c r="HE19" s="91"/>
      <c r="HF19" s="92"/>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31"/>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30" t="str">
        <f>Donnees!$C$29</f>
        <v>Affichage des résultats</v>
      </c>
      <c r="C21" s="99">
        <v>0</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92"/>
      <c r="HM21" s="90"/>
      <c r="HN21" s="91"/>
      <c r="HO21" s="92"/>
      <c r="HP21" s="90"/>
      <c r="HQ21" s="91"/>
      <c r="HR21" s="92"/>
      <c r="HS21" s="90"/>
      <c r="HT21" s="91"/>
      <c r="HU21" s="92"/>
      <c r="HV21" s="90"/>
      <c r="HW21" s="91"/>
      <c r="HX21" s="92"/>
      <c r="HY21" s="90"/>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31"/>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30" t="str">
        <f>Donnees!$C$30</f>
        <v>SQLite</v>
      </c>
      <c r="C23" s="99">
        <v>0</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91"/>
      <c r="HL23" s="92"/>
      <c r="HM23" s="90"/>
      <c r="HN23" s="91"/>
      <c r="HO23" s="92"/>
      <c r="HP23" s="90"/>
      <c r="HQ23" s="91"/>
      <c r="HR23" s="92"/>
      <c r="HS23" s="90"/>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31"/>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30" t="str">
        <f>Donnees!$C$31</f>
        <v>Préferences système</v>
      </c>
      <c r="C25" s="99">
        <v>0</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90"/>
      <c r="JJ25" s="91"/>
      <c r="JK25" s="92"/>
      <c r="JL25" s="90"/>
      <c r="JM25" s="93"/>
      <c r="JN25" s="89"/>
      <c r="JO25" s="90"/>
      <c r="JP25" s="91"/>
      <c r="JQ25" s="92"/>
      <c r="JR25" s="90"/>
      <c r="JS25" s="91"/>
      <c r="JT25" s="92"/>
      <c r="JU25" s="90"/>
      <c r="JV25" s="91"/>
      <c r="JW25" s="92"/>
      <c r="JX25" s="90"/>
      <c r="JY25" s="91"/>
      <c r="JZ25" s="92"/>
      <c r="KA25" s="90"/>
      <c r="KB25" s="91"/>
      <c r="KC25" s="92"/>
      <c r="KD25" s="90"/>
      <c r="KE25" s="91"/>
      <c r="KF25" s="92"/>
      <c r="KG25" s="90"/>
      <c r="KH25" s="91"/>
      <c r="KI25" s="92"/>
      <c r="KJ25" s="90"/>
      <c r="KK25" s="91"/>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31"/>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30" t="str">
        <f>Donnees!$C$32</f>
        <v>Test</v>
      </c>
      <c r="C27" s="99">
        <v>0</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90"/>
      <c r="FX27" s="91"/>
      <c r="FY27" s="92"/>
      <c r="FZ27" s="90"/>
      <c r="GA27" s="93"/>
      <c r="GB27" s="89"/>
      <c r="GC27" s="90"/>
      <c r="GD27" s="91"/>
      <c r="GE27" s="92"/>
      <c r="GF27" s="90"/>
      <c r="GG27" s="91"/>
      <c r="GH27" s="92"/>
      <c r="GI27" s="90"/>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90"/>
      <c r="HH27" s="91"/>
      <c r="HI27" s="92"/>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92"/>
      <c r="IK27" s="90"/>
      <c r="IL27" s="91"/>
      <c r="IM27" s="92"/>
      <c r="IN27" s="90"/>
      <c r="IO27" s="91"/>
      <c r="IP27" s="92"/>
      <c r="IQ27" s="90"/>
      <c r="IR27" s="91"/>
      <c r="IS27" s="92"/>
      <c r="IT27" s="90"/>
      <c r="IU27" s="91"/>
      <c r="IV27" s="92"/>
      <c r="IW27" s="90"/>
      <c r="IX27" s="91"/>
      <c r="IY27" s="92"/>
      <c r="IZ27" s="90"/>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90"/>
      <c r="JY27" s="91"/>
      <c r="JZ27" s="92"/>
      <c r="KA27" s="90"/>
      <c r="KB27" s="91"/>
      <c r="KC27" s="92"/>
      <c r="KD27" s="90"/>
      <c r="KE27" s="91"/>
      <c r="KF27" s="92"/>
      <c r="KG27" s="90"/>
      <c r="KH27" s="91"/>
      <c r="KI27" s="92"/>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31"/>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30" t="str">
        <f>Donnees!$C$33</f>
        <v>Réparation des bugs</v>
      </c>
      <c r="C29" s="99">
        <v>0</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92"/>
      <c r="JC29" s="90"/>
      <c r="JD29" s="91"/>
      <c r="JE29" s="92"/>
      <c r="JF29" s="90"/>
      <c r="JG29" s="91"/>
      <c r="JH29" s="92"/>
      <c r="JI29" s="90"/>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31"/>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30" t="str">
        <f>Donnees!$C$34</f>
        <v>Documentation</v>
      </c>
      <c r="C31" s="99">
        <v>0</v>
      </c>
      <c r="D31" s="89"/>
      <c r="E31" s="90"/>
      <c r="F31" s="91"/>
      <c r="G31" s="92"/>
      <c r="H31" s="90"/>
      <c r="I31" s="91"/>
      <c r="J31" s="92"/>
      <c r="K31" s="90"/>
      <c r="L31" s="91"/>
      <c r="M31" s="92"/>
      <c r="N31" s="90"/>
      <c r="O31" s="91"/>
      <c r="P31" s="92"/>
      <c r="Q31" s="90"/>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92"/>
      <c r="DO31" s="90"/>
      <c r="DP31" s="91"/>
      <c r="DQ31" s="92"/>
      <c r="DR31" s="90"/>
      <c r="DS31" s="91"/>
      <c r="DT31" s="92"/>
      <c r="DU31" s="90"/>
      <c r="DV31" s="91"/>
      <c r="DW31" s="92"/>
      <c r="DX31" s="90"/>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90"/>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90"/>
      <c r="GA31" s="93"/>
      <c r="GB31" s="89"/>
      <c r="GC31" s="90"/>
      <c r="GD31" s="91"/>
      <c r="GE31" s="92"/>
      <c r="GF31" s="90"/>
      <c r="GG31" s="91"/>
      <c r="GH31" s="92"/>
      <c r="GI31" s="90"/>
      <c r="GJ31" s="91"/>
      <c r="GK31" s="92"/>
      <c r="GL31" s="90"/>
      <c r="GM31" s="91"/>
      <c r="GN31" s="92"/>
      <c r="GO31" s="90"/>
      <c r="GP31" s="91"/>
      <c r="GQ31" s="92"/>
      <c r="GR31" s="90"/>
      <c r="GS31" s="91"/>
      <c r="GT31" s="92"/>
      <c r="GU31" s="90"/>
      <c r="GV31" s="91"/>
      <c r="GW31" s="92"/>
      <c r="GX31" s="90"/>
      <c r="GY31" s="91"/>
      <c r="GZ31" s="92"/>
      <c r="HA31" s="90"/>
      <c r="HB31" s="91"/>
      <c r="HC31" s="92"/>
      <c r="HD31" s="90"/>
      <c r="HE31" s="91"/>
      <c r="HF31" s="92"/>
      <c r="HG31" s="90"/>
      <c r="HH31" s="91"/>
      <c r="HI31" s="92"/>
      <c r="HJ31" s="90"/>
      <c r="HK31" s="91"/>
      <c r="HL31" s="92"/>
      <c r="HM31" s="90"/>
      <c r="HN31" s="91"/>
      <c r="HO31" s="92"/>
      <c r="HP31" s="90"/>
      <c r="HQ31" s="91"/>
      <c r="HR31" s="92"/>
      <c r="HS31" s="90"/>
      <c r="HT31" s="91"/>
      <c r="HU31" s="92"/>
      <c r="HV31" s="90"/>
      <c r="HW31" s="91"/>
      <c r="HX31" s="92"/>
      <c r="HY31" s="90"/>
      <c r="HZ31" s="91"/>
      <c r="IA31" s="92"/>
      <c r="IB31" s="90"/>
      <c r="IC31" s="91"/>
      <c r="ID31" s="92"/>
      <c r="IE31" s="90"/>
      <c r="IF31" s="91"/>
      <c r="IG31" s="92"/>
      <c r="IH31" s="90"/>
      <c r="II31" s="91"/>
      <c r="IJ31" s="92"/>
      <c r="IK31" s="90"/>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91"/>
      <c r="JK31" s="92"/>
      <c r="JL31" s="90"/>
      <c r="JM31" s="93"/>
      <c r="JN31" s="89"/>
      <c r="JO31" s="90"/>
      <c r="JP31" s="91"/>
      <c r="JQ31" s="92"/>
      <c r="JR31" s="90"/>
      <c r="JS31" s="91"/>
      <c r="JT31" s="92"/>
      <c r="JU31" s="90"/>
      <c r="JV31" s="91"/>
      <c r="JW31" s="92"/>
      <c r="JX31" s="90"/>
      <c r="JY31" s="91"/>
      <c r="JZ31" s="92"/>
      <c r="KA31" s="90"/>
      <c r="KB31" s="91"/>
      <c r="KC31" s="92"/>
      <c r="KD31" s="90"/>
      <c r="KE31" s="91"/>
      <c r="KF31" s="92"/>
      <c r="KG31" s="90"/>
      <c r="KH31" s="91"/>
      <c r="KI31" s="92"/>
      <c r="KJ31" s="90"/>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31"/>
      <c r="C32" s="100">
        <v>0</v>
      </c>
      <c r="D32" s="94"/>
      <c r="E32" s="95"/>
      <c r="F32" s="96"/>
      <c r="G32" s="97"/>
      <c r="H32" s="95"/>
      <c r="I32" s="96"/>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97"/>
      <c r="DU32" s="95"/>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30" t="str">
        <f>Donnees!$C$35</f>
        <v>Journal de travail</v>
      </c>
      <c r="C33" s="99">
        <v>0</v>
      </c>
      <c r="D33" s="89"/>
      <c r="E33" s="90"/>
      <c r="F33" s="91"/>
      <c r="G33" s="92"/>
      <c r="H33" s="90"/>
      <c r="I33" s="91"/>
      <c r="J33" s="92"/>
      <c r="K33" s="90"/>
      <c r="L33" s="91"/>
      <c r="M33" s="92"/>
      <c r="N33" s="90"/>
      <c r="O33" s="91"/>
      <c r="P33" s="92"/>
      <c r="Q33" s="90"/>
      <c r="R33" s="91"/>
      <c r="S33" s="92"/>
      <c r="T33" s="90"/>
      <c r="U33" s="91"/>
      <c r="V33" s="92"/>
      <c r="W33" s="90"/>
      <c r="X33" s="91"/>
      <c r="Y33" s="92"/>
      <c r="Z33" s="90"/>
      <c r="AA33" s="91"/>
      <c r="AB33" s="92"/>
      <c r="AC33" s="90"/>
      <c r="AD33" s="91"/>
      <c r="AE33" s="92"/>
      <c r="AF33" s="90"/>
      <c r="AG33" s="91"/>
      <c r="AH33" s="92"/>
      <c r="AI33" s="90"/>
      <c r="AJ33" s="91"/>
      <c r="AK33" s="92"/>
      <c r="AL33" s="90"/>
      <c r="AM33" s="91"/>
      <c r="AN33" s="92"/>
      <c r="AO33" s="90"/>
      <c r="AP33" s="91"/>
      <c r="AQ33" s="92"/>
      <c r="AR33" s="90"/>
      <c r="AS33" s="91"/>
      <c r="AT33" s="92"/>
      <c r="AU33" s="90"/>
      <c r="AV33" s="91"/>
      <c r="AW33" s="92"/>
      <c r="AX33" s="90"/>
      <c r="AY33" s="91"/>
      <c r="AZ33" s="92"/>
      <c r="BA33" s="90"/>
      <c r="BB33" s="91"/>
      <c r="BC33" s="92"/>
      <c r="BD33" s="90"/>
      <c r="BE33" s="91"/>
      <c r="BF33" s="92"/>
      <c r="BG33" s="90"/>
      <c r="BH33" s="91"/>
      <c r="BI33" s="92"/>
      <c r="BJ33" s="90"/>
      <c r="BK33" s="91"/>
      <c r="BL33" s="92"/>
      <c r="BM33" s="90"/>
      <c r="BN33" s="91"/>
      <c r="BO33" s="92"/>
      <c r="BP33" s="90"/>
      <c r="BQ33" s="91"/>
      <c r="BR33" s="92"/>
      <c r="BS33" s="90"/>
      <c r="BT33" s="91"/>
      <c r="BU33" s="92"/>
      <c r="BV33" s="90"/>
      <c r="BW33" s="91"/>
      <c r="BX33" s="92"/>
      <c r="BY33" s="90"/>
      <c r="BZ33" s="91"/>
      <c r="CA33" s="92"/>
      <c r="CB33" s="90"/>
      <c r="CC33" s="91"/>
      <c r="CD33" s="92"/>
      <c r="CE33" s="90"/>
      <c r="CF33" s="91"/>
      <c r="CG33" s="92"/>
      <c r="CH33" s="90"/>
      <c r="CI33" s="91"/>
      <c r="CJ33" s="92"/>
      <c r="CK33" s="90"/>
      <c r="CL33" s="91"/>
      <c r="CM33" s="92"/>
      <c r="CN33" s="90"/>
      <c r="CO33" s="93"/>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91"/>
      <c r="DZ33" s="92"/>
      <c r="EA33" s="90"/>
      <c r="EB33" s="91"/>
      <c r="EC33" s="92"/>
      <c r="ED33" s="90"/>
      <c r="EE33" s="91"/>
      <c r="EF33" s="92"/>
      <c r="EG33" s="90"/>
      <c r="EH33" s="91"/>
      <c r="EI33" s="92"/>
      <c r="EJ33" s="90"/>
      <c r="EK33" s="91"/>
      <c r="EL33" s="92"/>
      <c r="EM33" s="90"/>
      <c r="EN33" s="91"/>
      <c r="EO33" s="92"/>
      <c r="EP33" s="90"/>
      <c r="EQ33" s="91"/>
      <c r="ER33" s="92"/>
      <c r="ES33" s="90"/>
      <c r="ET33" s="91"/>
      <c r="EU33" s="92"/>
      <c r="EV33" s="90"/>
      <c r="EW33" s="91"/>
      <c r="EX33" s="92"/>
      <c r="EY33" s="90"/>
      <c r="EZ33" s="91"/>
      <c r="FA33" s="92"/>
      <c r="FB33" s="90"/>
      <c r="FC33" s="91"/>
      <c r="FD33" s="92"/>
      <c r="FE33" s="90"/>
      <c r="FF33" s="91"/>
      <c r="FG33" s="92"/>
      <c r="FH33" s="90"/>
      <c r="FI33" s="91"/>
      <c r="FJ33" s="92"/>
      <c r="FK33" s="90"/>
      <c r="FL33" s="91"/>
      <c r="FM33" s="92"/>
      <c r="FN33" s="90"/>
      <c r="FO33" s="91"/>
      <c r="FP33" s="92"/>
      <c r="FQ33" s="90"/>
      <c r="FR33" s="91"/>
      <c r="FS33" s="92"/>
      <c r="FT33" s="90"/>
      <c r="FU33" s="91"/>
      <c r="FV33" s="92"/>
      <c r="FW33" s="90"/>
      <c r="FX33" s="91"/>
      <c r="FY33" s="92"/>
      <c r="FZ33" s="90"/>
      <c r="GA33" s="93"/>
      <c r="GB33" s="89"/>
      <c r="GC33" s="90"/>
      <c r="GD33" s="91"/>
      <c r="GE33" s="92"/>
      <c r="GF33" s="90"/>
      <c r="GG33" s="91"/>
      <c r="GH33" s="92"/>
      <c r="GI33" s="90"/>
      <c r="GJ33" s="91"/>
      <c r="GK33" s="92"/>
      <c r="GL33" s="90"/>
      <c r="GM33" s="91"/>
      <c r="GN33" s="92"/>
      <c r="GO33" s="90"/>
      <c r="GP33" s="91"/>
      <c r="GQ33" s="92"/>
      <c r="GR33" s="90"/>
      <c r="GS33" s="91"/>
      <c r="GT33" s="92"/>
      <c r="GU33" s="90"/>
      <c r="GV33" s="91"/>
      <c r="GW33" s="92"/>
      <c r="GX33" s="90"/>
      <c r="GY33" s="91"/>
      <c r="GZ33" s="92"/>
      <c r="HA33" s="90"/>
      <c r="HB33" s="91"/>
      <c r="HC33" s="92"/>
      <c r="HD33" s="90"/>
      <c r="HE33" s="91"/>
      <c r="HF33" s="92"/>
      <c r="HG33" s="90"/>
      <c r="HH33" s="91"/>
      <c r="HI33" s="92"/>
      <c r="HJ33" s="90"/>
      <c r="HK33" s="91"/>
      <c r="HL33" s="92"/>
      <c r="HM33" s="90"/>
      <c r="HN33" s="91"/>
      <c r="HO33" s="92"/>
      <c r="HP33" s="90"/>
      <c r="HQ33" s="91"/>
      <c r="HR33" s="92"/>
      <c r="HS33" s="90"/>
      <c r="HT33" s="91"/>
      <c r="HU33" s="92"/>
      <c r="HV33" s="90"/>
      <c r="HW33" s="91"/>
      <c r="HX33" s="92"/>
      <c r="HY33" s="90"/>
      <c r="HZ33" s="91"/>
      <c r="IA33" s="92"/>
      <c r="IB33" s="90"/>
      <c r="IC33" s="91"/>
      <c r="ID33" s="92"/>
      <c r="IE33" s="90"/>
      <c r="IF33" s="91"/>
      <c r="IG33" s="92"/>
      <c r="IH33" s="90"/>
      <c r="II33" s="91"/>
      <c r="IJ33" s="92"/>
      <c r="IK33" s="90"/>
      <c r="IL33" s="91"/>
      <c r="IM33" s="92"/>
      <c r="IN33" s="90"/>
      <c r="IO33" s="91"/>
      <c r="IP33" s="92"/>
      <c r="IQ33" s="90"/>
      <c r="IR33" s="91"/>
      <c r="IS33" s="92"/>
      <c r="IT33" s="90"/>
      <c r="IU33" s="91"/>
      <c r="IV33" s="92"/>
      <c r="IW33" s="90"/>
      <c r="IX33" s="91"/>
      <c r="IY33" s="92"/>
      <c r="IZ33" s="90"/>
      <c r="JA33" s="91"/>
      <c r="JB33" s="92"/>
      <c r="JC33" s="90"/>
      <c r="JD33" s="91"/>
      <c r="JE33" s="92"/>
      <c r="JF33" s="90"/>
      <c r="JG33" s="91"/>
      <c r="JH33" s="92"/>
      <c r="JI33" s="90"/>
      <c r="JJ33" s="91"/>
      <c r="JK33" s="92"/>
      <c r="JL33" s="90"/>
      <c r="JM33" s="93"/>
      <c r="JN33" s="89"/>
      <c r="JO33" s="90"/>
      <c r="JP33" s="91"/>
      <c r="JQ33" s="92"/>
      <c r="JR33" s="90"/>
      <c r="JS33" s="91"/>
      <c r="JT33" s="92"/>
      <c r="JU33" s="90"/>
      <c r="JV33" s="91"/>
      <c r="JW33" s="92"/>
      <c r="JX33" s="90"/>
      <c r="JY33" s="91"/>
      <c r="JZ33" s="92"/>
      <c r="KA33" s="90"/>
      <c r="KB33" s="91"/>
      <c r="KC33" s="92"/>
      <c r="KD33" s="90"/>
      <c r="KE33" s="91"/>
      <c r="KF33" s="92"/>
      <c r="KG33" s="90"/>
      <c r="KH33" s="91"/>
      <c r="KI33" s="92"/>
      <c r="KJ33" s="90"/>
      <c r="KK33" s="91"/>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31"/>
      <c r="C34" s="100">
        <v>0</v>
      </c>
      <c r="D34" s="94"/>
      <c r="E34" s="95"/>
      <c r="F34" s="96"/>
      <c r="G34" s="97"/>
      <c r="H34" s="95"/>
      <c r="I34" s="96"/>
      <c r="J34" s="97"/>
      <c r="K34" s="95"/>
      <c r="L34" s="96"/>
      <c r="M34" s="97"/>
      <c r="N34" s="95"/>
      <c r="O34" s="96"/>
      <c r="P34" s="97"/>
      <c r="Q34" s="95"/>
      <c r="R34" s="96"/>
      <c r="S34" s="97"/>
      <c r="T34" s="95"/>
      <c r="U34" s="96"/>
      <c r="V34" s="97"/>
      <c r="W34" s="95"/>
      <c r="X34" s="96"/>
      <c r="Y34" s="97"/>
      <c r="Z34" s="95"/>
      <c r="AA34" s="96"/>
      <c r="AB34" s="97"/>
      <c r="AC34" s="95"/>
      <c r="AD34" s="96"/>
      <c r="AE34" s="97"/>
      <c r="AF34" s="95"/>
      <c r="AG34" s="96"/>
      <c r="AH34" s="97"/>
      <c r="AI34" s="95"/>
      <c r="AJ34" s="96"/>
      <c r="AK34" s="97"/>
      <c r="AL34" s="95"/>
      <c r="AM34" s="96"/>
      <c r="AN34" s="97"/>
      <c r="AO34" s="95"/>
      <c r="AP34" s="96"/>
      <c r="AQ34" s="97"/>
      <c r="AR34" s="95"/>
      <c r="AS34" s="96"/>
      <c r="AT34" s="97"/>
      <c r="AU34" s="95"/>
      <c r="AV34" s="96"/>
      <c r="AW34" s="97"/>
      <c r="AX34" s="95"/>
      <c r="AY34" s="96"/>
      <c r="AZ34" s="97"/>
      <c r="BA34" s="95"/>
      <c r="BB34" s="96"/>
      <c r="BC34" s="97"/>
      <c r="BD34" s="95"/>
      <c r="BE34" s="96"/>
      <c r="BF34" s="97"/>
      <c r="BG34" s="95"/>
      <c r="BH34" s="96"/>
      <c r="BI34" s="97"/>
      <c r="BJ34" s="95"/>
      <c r="BK34" s="96"/>
      <c r="BL34" s="97"/>
      <c r="BM34" s="95"/>
      <c r="BN34" s="96"/>
      <c r="BO34" s="97"/>
      <c r="BP34" s="95"/>
      <c r="BQ34" s="96"/>
      <c r="BR34" s="97"/>
      <c r="BS34" s="95"/>
      <c r="BT34" s="96"/>
      <c r="BU34" s="97"/>
      <c r="BV34" s="95"/>
      <c r="BW34" s="96"/>
      <c r="BX34" s="97"/>
      <c r="BY34" s="95"/>
      <c r="BZ34" s="96"/>
      <c r="CA34" s="97"/>
      <c r="CB34" s="95"/>
      <c r="CC34" s="96"/>
      <c r="CD34" s="97"/>
      <c r="CE34" s="95"/>
      <c r="CF34" s="96"/>
      <c r="CG34" s="97"/>
      <c r="CH34" s="95"/>
      <c r="CI34" s="96"/>
      <c r="CJ34" s="97"/>
      <c r="CK34" s="95"/>
      <c r="CL34" s="96"/>
      <c r="CM34" s="97"/>
      <c r="CN34" s="95"/>
      <c r="CO34" s="98"/>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96"/>
      <c r="DZ34" s="97"/>
      <c r="EA34" s="95"/>
      <c r="EB34" s="96"/>
      <c r="EC34" s="97"/>
      <c r="ED34" s="95"/>
      <c r="EE34" s="96"/>
      <c r="EF34" s="97"/>
      <c r="EG34" s="95"/>
      <c r="EH34" s="96"/>
      <c r="EI34" s="97"/>
      <c r="EJ34" s="95"/>
      <c r="EK34" s="96"/>
      <c r="EL34" s="97"/>
      <c r="EM34" s="95"/>
      <c r="EN34" s="96"/>
      <c r="EO34" s="97"/>
      <c r="EP34" s="95"/>
      <c r="EQ34" s="96"/>
      <c r="ER34" s="97"/>
      <c r="ES34" s="95"/>
      <c r="ET34" s="96"/>
      <c r="EU34" s="97"/>
      <c r="EV34" s="95"/>
      <c r="EW34" s="96"/>
      <c r="EX34" s="97"/>
      <c r="EY34" s="95"/>
      <c r="EZ34" s="96"/>
      <c r="FA34" s="97"/>
      <c r="FB34" s="95"/>
      <c r="FC34" s="96"/>
      <c r="FD34" s="97"/>
      <c r="FE34" s="95"/>
      <c r="FF34" s="96"/>
      <c r="FG34" s="97"/>
      <c r="FH34" s="95"/>
      <c r="FI34" s="96"/>
      <c r="FJ34" s="97"/>
      <c r="FK34" s="95"/>
      <c r="FL34" s="96"/>
      <c r="FM34" s="97"/>
      <c r="FN34" s="95"/>
      <c r="FO34" s="96"/>
      <c r="FP34" s="97"/>
      <c r="FQ34" s="95"/>
      <c r="FR34" s="96"/>
      <c r="FS34" s="97"/>
      <c r="FT34" s="95"/>
      <c r="FU34" s="96"/>
      <c r="FV34" s="97"/>
      <c r="FW34" s="95"/>
      <c r="FX34" s="96"/>
      <c r="FY34" s="97"/>
      <c r="FZ34" s="95"/>
      <c r="GA34" s="98"/>
      <c r="GB34" s="94"/>
      <c r="GC34" s="95"/>
      <c r="GD34" s="96"/>
      <c r="GE34" s="97"/>
      <c r="GF34" s="95"/>
      <c r="GG34" s="96"/>
      <c r="GH34" s="97"/>
      <c r="GI34" s="95"/>
      <c r="GJ34" s="96"/>
      <c r="GK34" s="97"/>
      <c r="GL34" s="95"/>
      <c r="GM34" s="96"/>
      <c r="GN34" s="97"/>
      <c r="GO34" s="95"/>
      <c r="GP34" s="96"/>
      <c r="GQ34" s="97"/>
      <c r="GR34" s="95"/>
      <c r="GS34" s="96"/>
      <c r="GT34" s="97"/>
      <c r="GU34" s="95"/>
      <c r="GV34" s="96"/>
      <c r="GW34" s="97"/>
      <c r="GX34" s="95"/>
      <c r="GY34" s="96"/>
      <c r="GZ34" s="97"/>
      <c r="HA34" s="95"/>
      <c r="HB34" s="96"/>
      <c r="HC34" s="97"/>
      <c r="HD34" s="95"/>
      <c r="HE34" s="96"/>
      <c r="HF34" s="97"/>
      <c r="HG34" s="95"/>
      <c r="HH34" s="96"/>
      <c r="HI34" s="97"/>
      <c r="HJ34" s="95"/>
      <c r="HK34" s="96"/>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95"/>
      <c r="IL34" s="96"/>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8"/>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0</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0</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insertRows="0" selectLockedCells="1"/>
  <mergeCells count="20">
    <mergeCell ref="GB2:JM2"/>
    <mergeCell ref="JN2:MY2"/>
    <mergeCell ref="B27:B28"/>
    <mergeCell ref="B29:B30"/>
    <mergeCell ref="B31:B32"/>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35" t="s">
        <v>21</v>
      </c>
      <c r="C3" s="30">
        <v>0</v>
      </c>
    </row>
    <row r="4" spans="1:4" ht="19.5" customHeight="1" x14ac:dyDescent="0.2">
      <c r="A4" s="34"/>
      <c r="B4" s="138"/>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03"/>
  <sheetViews>
    <sheetView tabSelected="1" view="pageBreakPreview" topLeftCell="A31" zoomScale="115" zoomScaleNormal="100" zoomScaleSheetLayoutView="115" workbookViewId="0">
      <selection activeCell="C42" sqref="C42"/>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3.5" x14ac:dyDescent="0.2">
      <c r="A3" s="108"/>
      <c r="B3" s="109"/>
      <c r="C3" s="110" t="s">
        <v>52</v>
      </c>
      <c r="D3" s="121"/>
    </row>
    <row r="4" spans="1:4" s="81" customFormat="1" ht="38.25" x14ac:dyDescent="0.2">
      <c r="A4" s="5" t="s">
        <v>27</v>
      </c>
      <c r="B4" s="6">
        <v>6</v>
      </c>
      <c r="C4" s="14" t="s">
        <v>62</v>
      </c>
      <c r="D4" s="122" t="s">
        <v>63</v>
      </c>
    </row>
    <row r="5" spans="1:4" s="81" customFormat="1" ht="40.5" x14ac:dyDescent="0.2">
      <c r="A5" s="5" t="s">
        <v>27</v>
      </c>
      <c r="B5" s="6">
        <v>2</v>
      </c>
      <c r="C5" s="14" t="s">
        <v>68</v>
      </c>
      <c r="D5" s="14"/>
    </row>
    <row r="6" spans="1:4" s="81" customFormat="1" ht="13.5" x14ac:dyDescent="0.2">
      <c r="A6" s="5" t="s">
        <v>27</v>
      </c>
      <c r="B6" s="6">
        <v>1</v>
      </c>
      <c r="C6" s="14" t="s">
        <v>64</v>
      </c>
      <c r="D6" s="122" t="s">
        <v>65</v>
      </c>
    </row>
    <row r="7" spans="1:4" s="81" customFormat="1" ht="27" x14ac:dyDescent="0.2">
      <c r="A7" s="5" t="s">
        <v>38</v>
      </c>
      <c r="B7" s="6">
        <v>3</v>
      </c>
      <c r="C7" s="14" t="s">
        <v>67</v>
      </c>
      <c r="D7" s="122" t="s">
        <v>66</v>
      </c>
    </row>
    <row r="8" spans="1:4" s="81" customFormat="1" ht="13.5" x14ac:dyDescent="0.2">
      <c r="A8" s="5"/>
      <c r="B8" s="6"/>
      <c r="C8" s="14"/>
      <c r="D8" s="14"/>
    </row>
    <row r="9" spans="1:4" s="81" customFormat="1" ht="13.5" x14ac:dyDescent="0.2">
      <c r="A9" s="5" t="s">
        <v>21</v>
      </c>
      <c r="B9" s="6">
        <v>2</v>
      </c>
      <c r="C9" s="14" t="s">
        <v>73</v>
      </c>
      <c r="D9" s="122"/>
    </row>
    <row r="10" spans="1:4" s="81" customFormat="1" ht="13.5" x14ac:dyDescent="0.2">
      <c r="A10" s="5" t="s">
        <v>29</v>
      </c>
      <c r="B10" s="6">
        <v>4</v>
      </c>
      <c r="C10" s="14" t="s">
        <v>69</v>
      </c>
      <c r="D10" s="122" t="s">
        <v>70</v>
      </c>
    </row>
    <row r="11" spans="1:4" s="81" customFormat="1" ht="27" x14ac:dyDescent="0.2">
      <c r="A11" s="5" t="s">
        <v>28</v>
      </c>
      <c r="B11" s="6">
        <v>2</v>
      </c>
      <c r="C11" s="14" t="s">
        <v>74</v>
      </c>
      <c r="D11" s="14"/>
    </row>
    <row r="12" spans="1:4" s="81" customFormat="1" ht="27" x14ac:dyDescent="0.2">
      <c r="A12" s="5" t="s">
        <v>29</v>
      </c>
      <c r="B12" s="6">
        <v>2</v>
      </c>
      <c r="C12" s="14" t="s">
        <v>72</v>
      </c>
      <c r="D12" s="122" t="s">
        <v>71</v>
      </c>
    </row>
    <row r="13" spans="1:4" s="81" customFormat="1" ht="14.25" thickBot="1" x14ac:dyDescent="0.25">
      <c r="A13" s="6" t="s">
        <v>38</v>
      </c>
      <c r="B13" s="6">
        <v>2</v>
      </c>
      <c r="C13" s="14" t="s">
        <v>75</v>
      </c>
      <c r="D13" s="14"/>
    </row>
    <row r="14" spans="1:4" s="81" customFormat="1" ht="13.5" x14ac:dyDescent="0.2">
      <c r="A14" s="108"/>
      <c r="B14" s="109"/>
      <c r="C14" s="110" t="s">
        <v>48</v>
      </c>
      <c r="D14" s="121"/>
    </row>
    <row r="15" spans="1:4" s="81" customFormat="1" ht="54" x14ac:dyDescent="0.2">
      <c r="A15" s="79" t="s">
        <v>28</v>
      </c>
      <c r="B15" s="79">
        <v>4</v>
      </c>
      <c r="C15" s="80" t="s">
        <v>78</v>
      </c>
      <c r="D15" s="126" t="s">
        <v>77</v>
      </c>
    </row>
    <row r="16" spans="1:4" s="81" customFormat="1" ht="27" x14ac:dyDescent="0.2">
      <c r="A16" s="79" t="s">
        <v>28</v>
      </c>
      <c r="B16" s="79">
        <v>3</v>
      </c>
      <c r="C16" s="80" t="s">
        <v>76</v>
      </c>
      <c r="D16" s="126" t="s">
        <v>90</v>
      </c>
    </row>
    <row r="17" spans="1:4" s="81" customFormat="1" ht="13.5" x14ac:dyDescent="0.2">
      <c r="A17" s="79" t="s">
        <v>29</v>
      </c>
      <c r="B17" s="79">
        <v>2</v>
      </c>
      <c r="C17" s="80" t="s">
        <v>79</v>
      </c>
      <c r="D17" s="126" t="s">
        <v>89</v>
      </c>
    </row>
    <row r="18" spans="1:4" s="81" customFormat="1" ht="27" x14ac:dyDescent="0.2">
      <c r="A18" s="79" t="s">
        <v>28</v>
      </c>
      <c r="B18" s="79">
        <v>2</v>
      </c>
      <c r="C18" s="80" t="s">
        <v>81</v>
      </c>
      <c r="D18" s="80"/>
    </row>
    <row r="19" spans="1:4" s="81" customFormat="1" ht="13.5" x14ac:dyDescent="0.2">
      <c r="A19" s="79" t="s">
        <v>38</v>
      </c>
      <c r="B19" s="79">
        <v>1</v>
      </c>
      <c r="C19" s="80" t="s">
        <v>80</v>
      </c>
      <c r="D19" s="80"/>
    </row>
    <row r="20" spans="1:4" s="81" customFormat="1" ht="13.5" x14ac:dyDescent="0.2">
      <c r="A20" s="123"/>
      <c r="B20" s="123"/>
      <c r="C20" s="124" t="s">
        <v>49</v>
      </c>
      <c r="D20" s="125"/>
    </row>
    <row r="21" spans="1:4" s="81" customFormat="1" ht="27" x14ac:dyDescent="0.2">
      <c r="A21" s="79" t="s">
        <v>28</v>
      </c>
      <c r="B21" s="79">
        <v>2</v>
      </c>
      <c r="C21" s="80" t="s">
        <v>82</v>
      </c>
      <c r="D21" s="80"/>
    </row>
    <row r="22" spans="1:4" s="81" customFormat="1" ht="27" x14ac:dyDescent="0.2">
      <c r="A22" s="79" t="s">
        <v>28</v>
      </c>
      <c r="B22" s="79">
        <v>3</v>
      </c>
      <c r="C22" s="80" t="s">
        <v>83</v>
      </c>
      <c r="D22" s="80" t="s">
        <v>84</v>
      </c>
    </row>
    <row r="23" spans="1:4" s="81" customFormat="1" ht="27" x14ac:dyDescent="0.2">
      <c r="A23" s="79" t="s">
        <v>28</v>
      </c>
      <c r="B23" s="79">
        <v>3</v>
      </c>
      <c r="C23" s="80" t="s">
        <v>86</v>
      </c>
      <c r="D23" s="126" t="s">
        <v>85</v>
      </c>
    </row>
    <row r="24" spans="1:4" s="81" customFormat="1" ht="40.5" x14ac:dyDescent="0.2">
      <c r="A24" s="79" t="s">
        <v>28</v>
      </c>
      <c r="B24" s="79">
        <v>3</v>
      </c>
      <c r="C24" s="80" t="s">
        <v>87</v>
      </c>
      <c r="D24" s="80"/>
    </row>
    <row r="25" spans="1:4" s="81" customFormat="1" ht="38.25" x14ac:dyDescent="0.2">
      <c r="A25" s="79" t="s">
        <v>29</v>
      </c>
      <c r="B25" s="79">
        <v>3</v>
      </c>
      <c r="C25" s="80" t="s">
        <v>91</v>
      </c>
      <c r="D25" s="127" t="s">
        <v>92</v>
      </c>
    </row>
    <row r="26" spans="1:4" s="81" customFormat="1" ht="13.5" x14ac:dyDescent="0.2">
      <c r="A26" s="79" t="s">
        <v>38</v>
      </c>
      <c r="B26" s="79">
        <v>1</v>
      </c>
      <c r="C26" s="80" t="s">
        <v>88</v>
      </c>
      <c r="D26" s="80"/>
    </row>
    <row r="27" spans="1:4" s="81" customFormat="1" ht="13.5" x14ac:dyDescent="0.2">
      <c r="A27" s="79"/>
      <c r="B27" s="79"/>
      <c r="C27" s="80"/>
      <c r="D27" s="80"/>
    </row>
    <row r="28" spans="1:4" s="81" customFormat="1" ht="27" x14ac:dyDescent="0.2">
      <c r="A28" s="79" t="s">
        <v>28</v>
      </c>
      <c r="B28" s="79">
        <v>4</v>
      </c>
      <c r="C28" s="80" t="s">
        <v>93</v>
      </c>
      <c r="D28" s="80"/>
    </row>
    <row r="29" spans="1:4" s="81" customFormat="1" ht="27" x14ac:dyDescent="0.2">
      <c r="A29" s="79" t="s">
        <v>28</v>
      </c>
      <c r="B29" s="79">
        <v>3</v>
      </c>
      <c r="C29" s="80" t="s">
        <v>94</v>
      </c>
      <c r="D29" s="80"/>
    </row>
    <row r="30" spans="1:4" s="81" customFormat="1" ht="13.5" x14ac:dyDescent="0.2">
      <c r="A30" s="79" t="s">
        <v>96</v>
      </c>
      <c r="B30" s="79">
        <v>5</v>
      </c>
      <c r="C30" s="80" t="s">
        <v>95</v>
      </c>
      <c r="D30" s="80"/>
    </row>
    <row r="31" spans="1:4" s="81" customFormat="1" ht="13.5" x14ac:dyDescent="0.2">
      <c r="A31" s="123"/>
      <c r="B31" s="123"/>
      <c r="C31" s="124" t="s">
        <v>50</v>
      </c>
      <c r="D31" s="125"/>
    </row>
    <row r="32" spans="1:4" s="81" customFormat="1" ht="13.5" x14ac:dyDescent="0.2">
      <c r="A32" s="79" t="s">
        <v>21</v>
      </c>
      <c r="B32" s="79">
        <v>1</v>
      </c>
      <c r="C32" s="80" t="s">
        <v>97</v>
      </c>
      <c r="D32" s="80"/>
    </row>
    <row r="33" spans="1:4" s="81" customFormat="1" ht="40.5" x14ac:dyDescent="0.2">
      <c r="A33" s="79" t="s">
        <v>29</v>
      </c>
      <c r="B33" s="79">
        <v>5</v>
      </c>
      <c r="C33" s="80" t="s">
        <v>98</v>
      </c>
      <c r="D33" s="80"/>
    </row>
    <row r="34" spans="1:4" s="81" customFormat="1" ht="51" x14ac:dyDescent="0.2">
      <c r="A34" s="79" t="s">
        <v>29</v>
      </c>
      <c r="B34" s="79">
        <v>6</v>
      </c>
      <c r="C34" s="80" t="s">
        <v>99</v>
      </c>
      <c r="D34" s="126" t="s">
        <v>101</v>
      </c>
    </row>
    <row r="35" spans="1:4" s="81" customFormat="1" ht="27" x14ac:dyDescent="0.2">
      <c r="A35" s="79" t="s">
        <v>28</v>
      </c>
      <c r="B35" s="79">
        <v>2</v>
      </c>
      <c r="C35" s="80" t="s">
        <v>102</v>
      </c>
      <c r="D35" s="80"/>
    </row>
    <row r="36" spans="1:4" s="81" customFormat="1" ht="13.5" x14ac:dyDescent="0.2">
      <c r="A36" s="79" t="s">
        <v>38</v>
      </c>
      <c r="B36" s="79">
        <v>1</v>
      </c>
      <c r="C36" s="80" t="s">
        <v>100</v>
      </c>
      <c r="D36" s="80"/>
    </row>
    <row r="37" spans="1:4" s="81" customFormat="1" ht="13.5" x14ac:dyDescent="0.2">
      <c r="A37" s="79"/>
      <c r="B37" s="79"/>
      <c r="C37" s="80"/>
      <c r="D37" s="80"/>
    </row>
    <row r="38" spans="1:4" s="81" customFormat="1" ht="25.5" x14ac:dyDescent="0.2">
      <c r="A38" s="79" t="s">
        <v>29</v>
      </c>
      <c r="B38" s="79">
        <v>2</v>
      </c>
      <c r="C38" s="80" t="s">
        <v>103</v>
      </c>
      <c r="D38" s="126" t="s">
        <v>106</v>
      </c>
    </row>
    <row r="39" spans="1:4" s="81" customFormat="1" ht="27" x14ac:dyDescent="0.2">
      <c r="A39" s="79" t="s">
        <v>54</v>
      </c>
      <c r="B39" s="79">
        <v>2</v>
      </c>
      <c r="C39" s="80" t="s">
        <v>104</v>
      </c>
      <c r="D39" s="80"/>
    </row>
    <row r="40" spans="1:4" s="81" customFormat="1" ht="27" x14ac:dyDescent="0.2">
      <c r="A40" s="79" t="s">
        <v>54</v>
      </c>
      <c r="B40" s="79">
        <v>2</v>
      </c>
      <c r="C40" s="80" t="s">
        <v>105</v>
      </c>
      <c r="D40" s="80" t="s">
        <v>107</v>
      </c>
    </row>
    <row r="41" spans="1:4" s="81" customFormat="1" ht="27" x14ac:dyDescent="0.2">
      <c r="A41" s="79" t="s">
        <v>54</v>
      </c>
      <c r="B41" s="79">
        <v>5</v>
      </c>
      <c r="C41" s="80" t="s">
        <v>108</v>
      </c>
      <c r="D41" s="80"/>
    </row>
    <row r="42" spans="1:4" s="81" customFormat="1" ht="13.5" x14ac:dyDescent="0.2">
      <c r="A42" s="79" t="s">
        <v>38</v>
      </c>
      <c r="B42" s="79">
        <v>1</v>
      </c>
      <c r="C42" s="80" t="s">
        <v>109</v>
      </c>
      <c r="D42" s="80"/>
    </row>
    <row r="43" spans="1:4" s="81" customFormat="1" ht="14.25" thickBot="1" x14ac:dyDescent="0.25">
      <c r="A43" s="7"/>
      <c r="B43" s="7"/>
      <c r="C43" s="15"/>
      <c r="D43" s="15"/>
    </row>
    <row r="44" spans="1:4" ht="14.25" thickBot="1" x14ac:dyDescent="0.25">
      <c r="A44" s="76" t="s">
        <v>22</v>
      </c>
      <c r="B44" s="76">
        <f>SUM(B3:B43)</f>
        <v>90</v>
      </c>
      <c r="C44" s="83" t="s">
        <v>39</v>
      </c>
      <c r="D44" s="77"/>
    </row>
    <row r="45" spans="1:4" ht="15" thickBot="1" x14ac:dyDescent="0.35">
      <c r="A45" s="78"/>
      <c r="B45" s="78"/>
      <c r="C45" s="78"/>
      <c r="D45" s="78"/>
    </row>
    <row r="46" spans="1:4" ht="18.75" thickBot="1" x14ac:dyDescent="0.25">
      <c r="A46" s="71" t="s">
        <v>14</v>
      </c>
      <c r="B46" s="72">
        <v>2</v>
      </c>
      <c r="C46" s="73" t="s">
        <v>23</v>
      </c>
      <c r="D46" s="82">
        <v>42891</v>
      </c>
    </row>
    <row r="47" spans="1:4" ht="27.75" thickBot="1" x14ac:dyDescent="0.25">
      <c r="A47" s="74" t="s">
        <v>3</v>
      </c>
      <c r="B47" s="75" t="s">
        <v>15</v>
      </c>
      <c r="C47" s="74" t="s">
        <v>7</v>
      </c>
      <c r="D47" s="74" t="s">
        <v>13</v>
      </c>
    </row>
    <row r="48" spans="1:4" ht="13.5" x14ac:dyDescent="0.2">
      <c r="A48" s="9"/>
      <c r="B48" s="8"/>
      <c r="C48" s="13"/>
      <c r="D48" s="13"/>
    </row>
    <row r="49" spans="1:9" ht="13.5" x14ac:dyDescent="0.2">
      <c r="A49" s="5"/>
      <c r="B49" s="6"/>
      <c r="C49" s="14"/>
      <c r="D49" s="14"/>
    </row>
    <row r="50" spans="1:9" ht="13.5" x14ac:dyDescent="0.2">
      <c r="A50" s="5"/>
      <c r="B50" s="6"/>
      <c r="C50" s="14"/>
      <c r="D50" s="14"/>
      <c r="E50" s="37"/>
      <c r="F50" s="37"/>
      <c r="G50" s="37"/>
      <c r="H50" s="37"/>
      <c r="I50" s="37"/>
    </row>
    <row r="51" spans="1:9" ht="12.75" customHeight="1" x14ac:dyDescent="0.2">
      <c r="A51" s="5"/>
      <c r="B51" s="6"/>
      <c r="C51" s="14"/>
      <c r="D51" s="14"/>
      <c r="E51" s="37"/>
      <c r="F51" s="54"/>
      <c r="G51" s="55"/>
      <c r="H51" s="56"/>
      <c r="I51" s="37"/>
    </row>
    <row r="52" spans="1:9" ht="15" x14ac:dyDescent="0.2">
      <c r="A52" s="5"/>
      <c r="B52" s="6"/>
      <c r="C52" s="14"/>
      <c r="D52" s="14"/>
      <c r="E52" s="37"/>
      <c r="F52" s="57"/>
      <c r="G52" s="53"/>
      <c r="H52" s="53"/>
      <c r="I52" s="37"/>
    </row>
    <row r="53" spans="1:9" ht="13.5" x14ac:dyDescent="0.2">
      <c r="A53" s="5"/>
      <c r="B53" s="6"/>
      <c r="C53" s="14"/>
      <c r="D53" s="14"/>
      <c r="E53" s="37"/>
      <c r="F53" s="59"/>
      <c r="G53" s="60"/>
      <c r="H53" s="60"/>
      <c r="I53" s="37"/>
    </row>
    <row r="54" spans="1:9" ht="13.5" x14ac:dyDescent="0.2">
      <c r="A54" s="5"/>
      <c r="B54" s="6"/>
      <c r="C54" s="14"/>
      <c r="D54" s="14"/>
      <c r="E54" s="37"/>
      <c r="F54" s="59"/>
      <c r="G54" s="60"/>
      <c r="H54" s="60"/>
      <c r="I54" s="37"/>
    </row>
    <row r="55" spans="1:9" ht="13.5" x14ac:dyDescent="0.2">
      <c r="A55" s="5"/>
      <c r="B55" s="6"/>
      <c r="C55" s="14"/>
      <c r="D55" s="14"/>
      <c r="E55" s="37"/>
      <c r="F55" s="59"/>
      <c r="G55" s="60"/>
      <c r="H55" s="60"/>
      <c r="I55" s="37"/>
    </row>
    <row r="56" spans="1:9" ht="13.5" x14ac:dyDescent="0.2">
      <c r="A56" s="5"/>
      <c r="B56" s="6"/>
      <c r="C56" s="14"/>
      <c r="D56" s="14"/>
      <c r="E56" s="37"/>
      <c r="F56" s="59"/>
      <c r="G56" s="60"/>
      <c r="H56" s="60"/>
      <c r="I56" s="37"/>
    </row>
    <row r="57" spans="1:9" ht="13.5" x14ac:dyDescent="0.2">
      <c r="A57" s="6"/>
      <c r="B57" s="6"/>
      <c r="C57" s="14"/>
      <c r="D57" s="14"/>
      <c r="E57" s="37"/>
      <c r="F57" s="59"/>
      <c r="G57" s="60"/>
      <c r="H57" s="60"/>
      <c r="I57" s="37"/>
    </row>
    <row r="58" spans="1:9" ht="13.5" x14ac:dyDescent="0.2">
      <c r="A58" s="6"/>
      <c r="B58" s="6"/>
      <c r="C58" s="14"/>
      <c r="D58" s="14"/>
      <c r="E58" s="37"/>
      <c r="F58" s="59"/>
      <c r="G58" s="60"/>
      <c r="H58" s="60"/>
      <c r="I58" s="37"/>
    </row>
    <row r="59" spans="1:9" ht="13.5" x14ac:dyDescent="0.2">
      <c r="A59" s="6"/>
      <c r="B59" s="6"/>
      <c r="C59" s="14"/>
      <c r="D59" s="14"/>
      <c r="E59" s="37"/>
      <c r="F59" s="59"/>
      <c r="G59" s="60"/>
      <c r="H59" s="60"/>
      <c r="I59" s="37"/>
    </row>
    <row r="60" spans="1:9" ht="13.5" x14ac:dyDescent="0.2">
      <c r="A60" s="79"/>
      <c r="B60" s="79"/>
      <c r="C60" s="80"/>
      <c r="D60" s="80"/>
      <c r="E60" s="37"/>
      <c r="F60" s="59"/>
      <c r="G60" s="60"/>
      <c r="H60" s="60"/>
      <c r="I60" s="37"/>
    </row>
    <row r="61" spans="1:9" ht="13.5" x14ac:dyDescent="0.2">
      <c r="A61" s="79"/>
      <c r="B61" s="79"/>
      <c r="C61" s="80"/>
      <c r="D61" s="80"/>
      <c r="E61" s="37"/>
      <c r="F61" s="61"/>
      <c r="G61" s="62"/>
      <c r="H61" s="62"/>
      <c r="I61" s="37"/>
    </row>
    <row r="62" spans="1:9" ht="15" thickBot="1" x14ac:dyDescent="0.35">
      <c r="A62" s="7"/>
      <c r="B62" s="7"/>
      <c r="C62" s="15"/>
      <c r="D62" s="15"/>
      <c r="E62" s="37"/>
      <c r="F62" s="63"/>
      <c r="G62" s="63"/>
      <c r="H62" s="63"/>
      <c r="I62" s="37"/>
    </row>
    <row r="63" spans="1:9" ht="14.25" thickBot="1" x14ac:dyDescent="0.25">
      <c r="A63" s="76" t="s">
        <v>22</v>
      </c>
      <c r="B63" s="76">
        <f>SUM(B48:B62)</f>
        <v>0</v>
      </c>
      <c r="C63" s="83" t="s">
        <v>39</v>
      </c>
      <c r="D63" s="77"/>
      <c r="E63" s="37"/>
      <c r="F63" s="37"/>
      <c r="G63" s="37"/>
      <c r="H63" s="37"/>
      <c r="I63" s="37"/>
    </row>
    <row r="64" spans="1:9" ht="15" thickBot="1" x14ac:dyDescent="0.35">
      <c r="A64" s="78"/>
      <c r="B64" s="78"/>
      <c r="C64" s="78"/>
      <c r="D64" s="78"/>
      <c r="E64" s="37"/>
      <c r="F64" s="37"/>
      <c r="G64" s="37"/>
      <c r="H64" s="37"/>
      <c r="I64" s="37"/>
    </row>
    <row r="65" spans="1:9" ht="18.75" thickBot="1" x14ac:dyDescent="0.25">
      <c r="A65" s="71" t="s">
        <v>14</v>
      </c>
      <c r="B65" s="72">
        <v>3</v>
      </c>
      <c r="C65" s="73" t="s">
        <v>23</v>
      </c>
      <c r="D65" s="82">
        <v>42898</v>
      </c>
      <c r="E65" s="37"/>
      <c r="F65" s="37"/>
      <c r="G65" s="37"/>
      <c r="H65" s="37"/>
      <c r="I65" s="37"/>
    </row>
    <row r="66" spans="1:9" ht="27.75" thickBot="1" x14ac:dyDescent="0.25">
      <c r="A66" s="74" t="s">
        <v>3</v>
      </c>
      <c r="B66" s="75" t="s">
        <v>15</v>
      </c>
      <c r="C66" s="74" t="s">
        <v>7</v>
      </c>
      <c r="D66" s="74" t="s">
        <v>13</v>
      </c>
    </row>
    <row r="67" spans="1:9" ht="13.5" x14ac:dyDescent="0.2">
      <c r="A67" s="9"/>
      <c r="B67" s="8"/>
      <c r="C67" s="13"/>
      <c r="D67" s="13"/>
    </row>
    <row r="68" spans="1:9" ht="13.5" x14ac:dyDescent="0.2">
      <c r="A68" s="5"/>
      <c r="B68" s="6"/>
      <c r="C68" s="14"/>
      <c r="D68" s="14"/>
    </row>
    <row r="69" spans="1:9" ht="13.5" x14ac:dyDescent="0.2">
      <c r="A69" s="5"/>
      <c r="B69" s="6"/>
      <c r="C69" s="14"/>
      <c r="D69" s="14"/>
    </row>
    <row r="70" spans="1:9" ht="13.5" x14ac:dyDescent="0.2">
      <c r="A70" s="5"/>
      <c r="B70" s="6"/>
      <c r="C70" s="14"/>
      <c r="D70" s="14"/>
    </row>
    <row r="71" spans="1:9" ht="13.5" x14ac:dyDescent="0.2">
      <c r="A71" s="5"/>
      <c r="B71" s="6"/>
      <c r="C71" s="14"/>
      <c r="D71" s="14"/>
    </row>
    <row r="72" spans="1:9" ht="13.5" x14ac:dyDescent="0.2">
      <c r="A72" s="5"/>
      <c r="B72" s="6"/>
      <c r="C72" s="14"/>
      <c r="D72" s="14"/>
    </row>
    <row r="73" spans="1:9" ht="13.5" x14ac:dyDescent="0.2">
      <c r="A73" s="5"/>
      <c r="B73" s="6"/>
      <c r="C73" s="14"/>
      <c r="D73" s="14"/>
    </row>
    <row r="74" spans="1:9" ht="13.5" x14ac:dyDescent="0.2">
      <c r="A74" s="5"/>
      <c r="B74" s="6"/>
      <c r="C74" s="14"/>
      <c r="D74" s="14"/>
    </row>
    <row r="75" spans="1:9" ht="13.5" x14ac:dyDescent="0.2">
      <c r="A75" s="5"/>
      <c r="B75" s="6"/>
      <c r="C75" s="14"/>
      <c r="D75" s="14"/>
    </row>
    <row r="76" spans="1:9" ht="13.5" x14ac:dyDescent="0.2">
      <c r="A76" s="6"/>
      <c r="B76" s="6"/>
      <c r="C76" s="14"/>
      <c r="D76" s="14"/>
    </row>
    <row r="77" spans="1:9" ht="13.5" x14ac:dyDescent="0.2">
      <c r="A77" s="6"/>
      <c r="B77" s="6"/>
      <c r="C77" s="14"/>
      <c r="D77" s="14"/>
    </row>
    <row r="78" spans="1:9" ht="13.5" x14ac:dyDescent="0.2">
      <c r="A78" s="6"/>
      <c r="B78" s="6"/>
      <c r="C78" s="14"/>
      <c r="D78" s="14"/>
    </row>
    <row r="79" spans="1:9" ht="13.5" x14ac:dyDescent="0.2">
      <c r="A79" s="79"/>
      <c r="B79" s="79"/>
      <c r="C79" s="80"/>
      <c r="D79" s="80"/>
    </row>
    <row r="80" spans="1:9" ht="13.5" x14ac:dyDescent="0.2">
      <c r="A80" s="79"/>
      <c r="B80" s="79"/>
      <c r="C80" s="80"/>
      <c r="D80" s="80"/>
    </row>
    <row r="81" spans="1:4" ht="14.25" thickBot="1" x14ac:dyDescent="0.25">
      <c r="A81" s="7"/>
      <c r="B81" s="7"/>
      <c r="C81" s="15"/>
      <c r="D81" s="15"/>
    </row>
    <row r="82" spans="1:4" ht="14.25" thickBot="1" x14ac:dyDescent="0.25">
      <c r="A82" s="76" t="s">
        <v>22</v>
      </c>
      <c r="B82" s="76">
        <f>SUM(B67:B81)</f>
        <v>0</v>
      </c>
      <c r="C82" s="83" t="s">
        <v>39</v>
      </c>
      <c r="D82" s="77"/>
    </row>
    <row r="83" spans="1:4" ht="15" thickBot="1" x14ac:dyDescent="0.35">
      <c r="A83" s="78"/>
      <c r="B83" s="78"/>
      <c r="C83" s="78"/>
      <c r="D83" s="78"/>
    </row>
    <row r="84" spans="1:4" ht="18.75" thickBot="1" x14ac:dyDescent="0.25">
      <c r="A84" s="71" t="s">
        <v>14</v>
      </c>
      <c r="B84" s="72">
        <v>4</v>
      </c>
      <c r="C84" s="73" t="s">
        <v>23</v>
      </c>
      <c r="D84" s="82">
        <v>42905</v>
      </c>
    </row>
    <row r="85" spans="1:4" ht="27.75" thickBot="1" x14ac:dyDescent="0.25">
      <c r="A85" s="74" t="s">
        <v>3</v>
      </c>
      <c r="B85" s="75" t="s">
        <v>15</v>
      </c>
      <c r="C85" s="74" t="s">
        <v>7</v>
      </c>
      <c r="D85" s="74" t="s">
        <v>13</v>
      </c>
    </row>
    <row r="86" spans="1:4" ht="13.5" x14ac:dyDescent="0.2">
      <c r="A86" s="9"/>
      <c r="B86" s="8"/>
      <c r="C86" s="13"/>
      <c r="D86" s="13"/>
    </row>
    <row r="87" spans="1:4" ht="13.5" x14ac:dyDescent="0.2">
      <c r="A87" s="5"/>
      <c r="B87" s="6"/>
      <c r="C87" s="14"/>
      <c r="D87" s="14"/>
    </row>
    <row r="88" spans="1:4" ht="13.5" x14ac:dyDescent="0.2">
      <c r="A88" s="5"/>
      <c r="B88" s="6"/>
      <c r="C88" s="14"/>
      <c r="D88" s="14"/>
    </row>
    <row r="89" spans="1:4" ht="13.5" x14ac:dyDescent="0.2">
      <c r="A89" s="5"/>
      <c r="B89" s="6"/>
      <c r="C89" s="14"/>
      <c r="D89" s="14"/>
    </row>
    <row r="90" spans="1:4" ht="13.5" x14ac:dyDescent="0.2">
      <c r="A90" s="5"/>
      <c r="B90" s="6"/>
      <c r="C90" s="14"/>
      <c r="D90" s="14"/>
    </row>
    <row r="91" spans="1:4" ht="13.5" x14ac:dyDescent="0.2">
      <c r="A91" s="5"/>
      <c r="B91" s="6"/>
      <c r="C91" s="14"/>
      <c r="D91" s="14"/>
    </row>
    <row r="92" spans="1:4" ht="13.5" x14ac:dyDescent="0.2">
      <c r="A92" s="5"/>
      <c r="B92" s="6"/>
      <c r="C92" s="14"/>
      <c r="D92" s="14"/>
    </row>
    <row r="93" spans="1:4" ht="13.5" x14ac:dyDescent="0.2">
      <c r="A93" s="5"/>
      <c r="B93" s="6"/>
      <c r="C93" s="14"/>
      <c r="D93" s="14"/>
    </row>
    <row r="94" spans="1:4" ht="13.5" x14ac:dyDescent="0.2">
      <c r="A94" s="5"/>
      <c r="B94" s="6"/>
      <c r="C94" s="14"/>
      <c r="D94" s="14"/>
    </row>
    <row r="95" spans="1:4" ht="13.5" x14ac:dyDescent="0.2">
      <c r="A95" s="6"/>
      <c r="B95" s="6"/>
      <c r="C95" s="14"/>
      <c r="D95" s="14"/>
    </row>
    <row r="96" spans="1:4" ht="13.5" x14ac:dyDescent="0.2">
      <c r="A96" s="6"/>
      <c r="B96" s="6"/>
      <c r="C96" s="14"/>
      <c r="D96" s="14"/>
    </row>
    <row r="97" spans="1:4" ht="13.5" x14ac:dyDescent="0.2">
      <c r="A97" s="6"/>
      <c r="B97" s="6"/>
      <c r="C97" s="14"/>
      <c r="D97" s="14"/>
    </row>
    <row r="98" spans="1:4" ht="13.5" x14ac:dyDescent="0.2">
      <c r="A98" s="79"/>
      <c r="B98" s="79"/>
      <c r="C98" s="80"/>
      <c r="D98" s="80"/>
    </row>
    <row r="99" spans="1:4" ht="13.5" x14ac:dyDescent="0.2">
      <c r="A99" s="79"/>
      <c r="B99" s="79"/>
      <c r="C99" s="80"/>
      <c r="D99" s="80"/>
    </row>
    <row r="100" spans="1:4" ht="14.25" thickBot="1" x14ac:dyDescent="0.25">
      <c r="A100" s="7"/>
      <c r="B100" s="7"/>
      <c r="C100" s="15"/>
      <c r="D100" s="15"/>
    </row>
    <row r="101" spans="1:4" ht="14.25" thickBot="1" x14ac:dyDescent="0.25">
      <c r="A101" s="76" t="s">
        <v>22</v>
      </c>
      <c r="B101" s="76">
        <f>SUM(B86:B100)</f>
        <v>0</v>
      </c>
      <c r="C101" s="83" t="s">
        <v>39</v>
      </c>
      <c r="D101" s="77"/>
    </row>
    <row r="102" spans="1:4" ht="14.25" x14ac:dyDescent="0.3">
      <c r="A102" s="78"/>
      <c r="B102" s="78"/>
      <c r="C102" s="78"/>
      <c r="D102" s="78"/>
    </row>
    <row r="103" spans="1:4" x14ac:dyDescent="0.2">
      <c r="A103"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1">
      <formula1>0</formula1>
      <formula2>DureePeriode-1</formula2>
    </dataValidation>
    <dataValidation type="whole" errorStyle="warning" operator="greaterThan" allowBlank="1" showInputMessage="1" showErrorMessage="1" errorTitle="Durée en 1/3 de période" error="Le nombre doit être de type entier" sqref="F53:F60 B86:B100 B48:B62 B67:B81 B3:B43">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4 B63 B82 B101">
      <formula1>0</formula1>
      <formula2>NbPerWeek * NbQuartPer</formula2>
    </dataValidation>
    <dataValidation type="list" allowBlank="1" showInputMessage="1" showErrorMessage="1" sqref="A86:A100 A48:A62 A67:A81 A3:A43">
      <formula1>lstTasks</formula1>
    </dataValidation>
  </dataValidations>
  <hyperlinks>
    <hyperlink ref="D4" r:id="rId1"/>
    <hyperlink ref="D6" r:id="rId2"/>
    <hyperlink ref="D10" r:id="rId3"/>
    <hyperlink ref="D23" r:id="rId4"/>
    <hyperlink ref="D16" r:id="rId5"/>
    <hyperlink ref="D15" r:id="rId6"/>
    <hyperlink ref="D17" r:id="rId7"/>
    <hyperlink ref="D34" r:id="rId8" display="https://stackoverflow.com/questions/7478023/how-to-set-background-color-in-the-xml-layout"/>
    <hyperlink ref="D38" r:id="rId9"/>
  </hyperlinks>
  <printOptions horizontalCentered="1" verticalCentered="1"/>
  <pageMargins left="0.25" right="0.25" top="0.75" bottom="0.75" header="0.3" footer="0.3"/>
  <pageSetup paperSize="9" scale="61" fitToHeight="0" orientation="portrait" cellComments="atEnd" r:id="rId10"/>
  <headerFooter>
    <oddHeader>&amp;L&amp;"ETML L,Normal"&amp;24ETML</oddHeader>
    <oddFooter>&amp;C&amp;F&amp;L&amp;D</oddFooter>
  </headerFooter>
  <drawing r:id="rId11"/>
  <legacyDrawing r:id="rId12"/>
  <controls>
    <mc:AlternateContent xmlns:mc="http://schemas.openxmlformats.org/markup-compatibility/2006">
      <mc:Choice Requires="x14">
        <control shapeId="46081" r:id="rId13" name="btnImportRealisation">
          <controlPr defaultSize="0" autoLine="0" r:id="rId14">
            <anchor moveWithCells="1">
              <from>
                <xdr:col>4</xdr:col>
                <xdr:colOff>590550</xdr:colOff>
                <xdr:row>0</xdr:row>
                <xdr:rowOff>180975</xdr:rowOff>
              </from>
              <to>
                <xdr:col>7</xdr:col>
                <xdr:colOff>257175</xdr:colOff>
                <xdr:row>2</xdr:row>
                <xdr:rowOff>152400</xdr:rowOff>
              </to>
            </anchor>
          </controlPr>
        </control>
      </mc:Choice>
      <mc:Fallback>
        <control shapeId="46081" r:id="rId13"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2"/>
  <sheetViews>
    <sheetView view="pageBreakPreview" topLeftCell="A16" zoomScaleNormal="100" zoomScaleSheetLayoutView="100" workbookViewId="0">
      <selection activeCell="C48" sqref="C48"/>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108"/>
      <c r="B3" s="109"/>
      <c r="C3" s="110" t="s">
        <v>52</v>
      </c>
      <c r="D3" s="111"/>
    </row>
    <row r="4" spans="1:4" s="81" customFormat="1" ht="13.5" x14ac:dyDescent="0.2">
      <c r="A4" s="5" t="s">
        <v>27</v>
      </c>
      <c r="B4" s="6">
        <v>5</v>
      </c>
      <c r="C4" s="14" t="s">
        <v>51</v>
      </c>
      <c r="D4" s="14"/>
    </row>
    <row r="5" spans="1:4" s="81" customFormat="1" ht="13.5" x14ac:dyDescent="0.2">
      <c r="A5" s="5" t="s">
        <v>38</v>
      </c>
      <c r="B5" s="6">
        <v>6</v>
      </c>
      <c r="C5" s="14" t="s">
        <v>46</v>
      </c>
      <c r="D5" s="14"/>
    </row>
    <row r="6" spans="1:4" s="81" customFormat="1" ht="13.5" x14ac:dyDescent="0.2">
      <c r="A6" s="5" t="s">
        <v>27</v>
      </c>
      <c r="B6" s="6">
        <v>1</v>
      </c>
      <c r="C6" s="14" t="s">
        <v>47</v>
      </c>
      <c r="D6" s="14"/>
    </row>
    <row r="7" spans="1:4" s="81" customFormat="1" ht="13.5" x14ac:dyDescent="0.2">
      <c r="A7" s="5" t="s">
        <v>21</v>
      </c>
      <c r="B7" s="6">
        <v>3</v>
      </c>
      <c r="C7" s="14" t="s">
        <v>56</v>
      </c>
      <c r="D7" s="14"/>
    </row>
    <row r="8" spans="1:4" s="81" customFormat="1" ht="27" x14ac:dyDescent="0.2">
      <c r="A8" s="5" t="s">
        <v>28</v>
      </c>
      <c r="B8" s="6">
        <v>8</v>
      </c>
      <c r="C8" s="14"/>
      <c r="D8" s="14"/>
    </row>
    <row r="9" spans="1:4" s="81" customFormat="1" ht="13.5" x14ac:dyDescent="0.2">
      <c r="A9" s="5" t="s">
        <v>38</v>
      </c>
      <c r="B9" s="6">
        <v>1</v>
      </c>
      <c r="C9" s="14"/>
      <c r="D9" s="14"/>
    </row>
    <row r="10" spans="1:4" s="81" customFormat="1" ht="13.5" x14ac:dyDescent="0.2">
      <c r="A10" s="112"/>
      <c r="B10" s="112"/>
      <c r="C10" s="113" t="s">
        <v>48</v>
      </c>
      <c r="D10" s="111"/>
    </row>
    <row r="11" spans="1:4" s="81" customFormat="1" ht="27" x14ac:dyDescent="0.2">
      <c r="A11" s="5" t="s">
        <v>28</v>
      </c>
      <c r="B11" s="6">
        <v>11</v>
      </c>
      <c r="C11" s="14"/>
      <c r="D11" s="14"/>
    </row>
    <row r="12" spans="1:4" s="81" customFormat="1" ht="13.5" x14ac:dyDescent="0.2">
      <c r="A12" s="5" t="s">
        <v>38</v>
      </c>
      <c r="B12" s="6">
        <v>1</v>
      </c>
      <c r="C12" s="14"/>
      <c r="D12" s="14"/>
    </row>
    <row r="13" spans="1:4" s="81" customFormat="1" ht="13.5" x14ac:dyDescent="0.2">
      <c r="A13" s="112"/>
      <c r="B13" s="112"/>
      <c r="C13" s="113" t="s">
        <v>49</v>
      </c>
      <c r="D13" s="111"/>
    </row>
    <row r="14" spans="1:4" ht="27" x14ac:dyDescent="0.2">
      <c r="A14" s="5" t="s">
        <v>28</v>
      </c>
      <c r="B14" s="6">
        <v>14</v>
      </c>
      <c r="C14" s="14"/>
      <c r="D14" s="14"/>
    </row>
    <row r="15" spans="1:4" ht="13.5" x14ac:dyDescent="0.2">
      <c r="A15" s="5" t="s">
        <v>38</v>
      </c>
      <c r="B15" s="6">
        <v>1</v>
      </c>
      <c r="C15" s="14"/>
      <c r="D15" s="14"/>
    </row>
    <row r="16" spans="1:4" ht="27" x14ac:dyDescent="0.2">
      <c r="A16" s="5" t="s">
        <v>28</v>
      </c>
      <c r="B16" s="6">
        <v>11</v>
      </c>
      <c r="C16" s="14"/>
      <c r="D16" s="14"/>
    </row>
    <row r="17" spans="1:9" ht="13.5" x14ac:dyDescent="0.2">
      <c r="A17" s="5" t="s">
        <v>38</v>
      </c>
      <c r="B17" s="6">
        <v>1</v>
      </c>
      <c r="C17" s="14"/>
      <c r="D17" s="14"/>
    </row>
    <row r="18" spans="1:9" ht="13.5" x14ac:dyDescent="0.2">
      <c r="A18" s="112"/>
      <c r="B18" s="112"/>
      <c r="C18" s="113" t="s">
        <v>50</v>
      </c>
      <c r="D18" s="111"/>
    </row>
    <row r="19" spans="1:9" ht="27" x14ac:dyDescent="0.2">
      <c r="A19" s="5" t="s">
        <v>28</v>
      </c>
      <c r="B19" s="6">
        <v>14</v>
      </c>
      <c r="C19" s="14"/>
      <c r="D19" s="14"/>
    </row>
    <row r="20" spans="1:9" s="115" customFormat="1" ht="13.5" x14ac:dyDescent="0.2">
      <c r="A20" s="5" t="s">
        <v>38</v>
      </c>
      <c r="B20" s="6">
        <v>1</v>
      </c>
      <c r="C20" s="14"/>
      <c r="D20" s="14"/>
      <c r="E20" s="114"/>
      <c r="F20" s="114"/>
      <c r="G20" s="114"/>
      <c r="H20" s="114"/>
      <c r="I20" s="114"/>
    </row>
    <row r="21" spans="1:9" ht="12.75" customHeight="1" x14ac:dyDescent="0.2">
      <c r="A21" s="5" t="s">
        <v>28</v>
      </c>
      <c r="B21" s="6">
        <v>11</v>
      </c>
      <c r="C21" s="14"/>
      <c r="D21" s="14"/>
      <c r="E21" s="37"/>
      <c r="F21" s="54"/>
      <c r="G21" s="55"/>
      <c r="H21" s="56"/>
      <c r="I21" s="37"/>
    </row>
    <row r="22" spans="1:9" ht="15" x14ac:dyDescent="0.2">
      <c r="A22" s="5" t="s">
        <v>38</v>
      </c>
      <c r="B22" s="6">
        <v>1</v>
      </c>
      <c r="C22" s="14"/>
      <c r="D22" s="14"/>
      <c r="E22" s="37"/>
      <c r="F22" s="57"/>
      <c r="G22" s="53"/>
      <c r="H22" s="53"/>
      <c r="I22" s="37"/>
    </row>
    <row r="23" spans="1:9" s="115" customFormat="1" ht="14.25" thickBot="1" x14ac:dyDescent="0.25">
      <c r="A23" s="7"/>
      <c r="B23" s="7"/>
      <c r="C23" s="15"/>
      <c r="D23" s="15"/>
      <c r="E23" s="114"/>
      <c r="F23" s="116"/>
      <c r="G23" s="117"/>
      <c r="H23" s="117"/>
      <c r="I23" s="114"/>
    </row>
    <row r="24" spans="1:9" ht="14.25" thickBot="1" x14ac:dyDescent="0.25">
      <c r="A24" s="16" t="s">
        <v>22</v>
      </c>
      <c r="B24" s="16">
        <f>SUM(B4:B23)</f>
        <v>90</v>
      </c>
      <c r="C24" s="85" t="s">
        <v>39</v>
      </c>
      <c r="D24" s="17"/>
      <c r="E24" s="37"/>
      <c r="F24" s="59"/>
      <c r="G24" s="60"/>
      <c r="H24" s="60"/>
      <c r="I24" s="37"/>
    </row>
    <row r="25" spans="1:9" ht="15" thickBot="1" x14ac:dyDescent="0.35">
      <c r="A25" s="18"/>
      <c r="B25" s="18"/>
      <c r="C25" s="18"/>
      <c r="D25" s="18"/>
      <c r="E25" s="37"/>
      <c r="F25" s="59"/>
      <c r="G25" s="60"/>
      <c r="H25" s="60"/>
      <c r="I25" s="37"/>
    </row>
    <row r="26" spans="1:9" ht="18.75" thickBot="1" x14ac:dyDescent="0.25">
      <c r="A26" s="10" t="s">
        <v>14</v>
      </c>
      <c r="B26" s="11">
        <v>2</v>
      </c>
      <c r="C26" s="31"/>
      <c r="D26" s="33"/>
      <c r="E26" s="37"/>
      <c r="F26" s="59"/>
      <c r="G26" s="60"/>
      <c r="H26" s="60"/>
      <c r="I26" s="37"/>
    </row>
    <row r="27" spans="1:9" ht="27.75" thickBot="1" x14ac:dyDescent="0.25">
      <c r="A27" s="12" t="s">
        <v>3</v>
      </c>
      <c r="B27" s="32" t="s">
        <v>15</v>
      </c>
      <c r="C27" s="12" t="s">
        <v>7</v>
      </c>
      <c r="D27" s="12" t="s">
        <v>13</v>
      </c>
      <c r="E27" s="37"/>
      <c r="F27" s="59"/>
      <c r="G27" s="60"/>
      <c r="H27" s="60"/>
      <c r="I27" s="37"/>
    </row>
    <row r="28" spans="1:9" ht="13.5" x14ac:dyDescent="0.2">
      <c r="A28" s="108"/>
      <c r="B28" s="109"/>
      <c r="C28" s="110" t="s">
        <v>52</v>
      </c>
      <c r="D28" s="111"/>
      <c r="E28" s="37"/>
      <c r="F28" s="59"/>
      <c r="G28" s="60"/>
      <c r="H28" s="60"/>
      <c r="I28" s="37"/>
    </row>
    <row r="29" spans="1:9" ht="13.5" x14ac:dyDescent="0.2">
      <c r="A29" s="118" t="s">
        <v>21</v>
      </c>
      <c r="B29" s="119">
        <v>24</v>
      </c>
      <c r="C29" s="120" t="s">
        <v>55</v>
      </c>
      <c r="D29" s="120"/>
      <c r="E29" s="37"/>
      <c r="F29" s="59"/>
      <c r="G29" s="60"/>
      <c r="H29" s="60"/>
      <c r="I29" s="37"/>
    </row>
    <row r="30" spans="1:9" ht="13.5" x14ac:dyDescent="0.2">
      <c r="A30" s="112"/>
      <c r="B30" s="112"/>
      <c r="C30" s="113" t="s">
        <v>48</v>
      </c>
      <c r="D30" s="111"/>
      <c r="E30" s="37"/>
      <c r="F30" s="59"/>
      <c r="G30" s="60"/>
      <c r="H30" s="60"/>
      <c r="I30" s="37"/>
    </row>
    <row r="31" spans="1:9" ht="13.5" x14ac:dyDescent="0.2">
      <c r="A31" s="118" t="s">
        <v>27</v>
      </c>
      <c r="B31" s="119">
        <v>3</v>
      </c>
      <c r="C31" s="120" t="s">
        <v>53</v>
      </c>
      <c r="D31" s="120"/>
      <c r="E31" s="37"/>
      <c r="F31" s="61"/>
      <c r="G31" s="62"/>
      <c r="H31" s="62"/>
      <c r="I31" s="37"/>
    </row>
    <row r="32" spans="1:9" ht="27" x14ac:dyDescent="0.3">
      <c r="A32" s="118" t="s">
        <v>54</v>
      </c>
      <c r="B32" s="119">
        <v>7</v>
      </c>
      <c r="C32" s="120"/>
      <c r="D32" s="120"/>
      <c r="E32" s="37"/>
      <c r="F32" s="63"/>
      <c r="G32" s="63"/>
      <c r="H32" s="63"/>
      <c r="I32" s="37"/>
    </row>
    <row r="33" spans="1:9" ht="13.5" x14ac:dyDescent="0.2">
      <c r="A33" s="118" t="s">
        <v>27</v>
      </c>
      <c r="B33" s="119">
        <v>1</v>
      </c>
      <c r="C33" s="120"/>
      <c r="D33" s="120"/>
      <c r="E33" s="37"/>
      <c r="F33" s="37"/>
      <c r="G33" s="37"/>
      <c r="H33" s="37"/>
      <c r="I33" s="37"/>
    </row>
    <row r="34" spans="1:9" ht="13.5" x14ac:dyDescent="0.2">
      <c r="A34" s="5" t="s">
        <v>38</v>
      </c>
      <c r="B34" s="6">
        <v>1</v>
      </c>
      <c r="C34" s="120"/>
      <c r="D34" s="14"/>
      <c r="E34" s="37"/>
      <c r="F34" s="37"/>
      <c r="G34" s="37"/>
      <c r="H34" s="37"/>
      <c r="I34" s="37"/>
    </row>
    <row r="35" spans="1:9" ht="13.5" x14ac:dyDescent="0.2">
      <c r="A35" s="112"/>
      <c r="B35" s="112"/>
      <c r="C35" s="113" t="s">
        <v>49</v>
      </c>
      <c r="D35" s="111"/>
      <c r="E35" s="37"/>
      <c r="F35" s="37"/>
      <c r="G35" s="37"/>
      <c r="H35" s="37"/>
      <c r="I35" s="37"/>
    </row>
    <row r="36" spans="1:9" ht="13.5" x14ac:dyDescent="0.2">
      <c r="A36" s="5" t="s">
        <v>30</v>
      </c>
      <c r="B36" s="6">
        <v>14</v>
      </c>
      <c r="C36" s="14"/>
      <c r="D36" s="14"/>
      <c r="E36" s="37"/>
      <c r="F36" s="37"/>
      <c r="G36" s="37"/>
      <c r="H36" s="37"/>
      <c r="I36" s="37"/>
    </row>
    <row r="37" spans="1:9" ht="27" x14ac:dyDescent="0.2">
      <c r="A37" s="5" t="s">
        <v>31</v>
      </c>
      <c r="B37" s="6"/>
      <c r="C37" s="14"/>
      <c r="D37" s="14"/>
      <c r="E37" s="37"/>
      <c r="F37" s="37"/>
      <c r="G37" s="37"/>
      <c r="H37" s="37"/>
      <c r="I37" s="37"/>
    </row>
    <row r="38" spans="1:9" ht="13.5" x14ac:dyDescent="0.2">
      <c r="A38" s="5" t="s">
        <v>38</v>
      </c>
      <c r="B38" s="6">
        <v>1</v>
      </c>
      <c r="C38" s="14"/>
      <c r="D38" s="14"/>
      <c r="E38" s="37"/>
      <c r="F38" s="37"/>
      <c r="G38" s="37"/>
      <c r="H38" s="37"/>
      <c r="I38" s="37"/>
    </row>
    <row r="39" spans="1:9" ht="13.5" x14ac:dyDescent="0.2">
      <c r="A39" s="5" t="s">
        <v>30</v>
      </c>
      <c r="B39" s="6">
        <v>10</v>
      </c>
      <c r="C39" s="14"/>
      <c r="D39" s="14"/>
      <c r="E39" s="37"/>
      <c r="F39" s="37"/>
      <c r="G39" s="37"/>
      <c r="H39" s="37"/>
      <c r="I39" s="37"/>
    </row>
    <row r="40" spans="1:9" ht="27" x14ac:dyDescent="0.2">
      <c r="A40" s="5" t="s">
        <v>31</v>
      </c>
      <c r="B40" s="6"/>
      <c r="C40" s="14"/>
      <c r="D40" s="14"/>
    </row>
    <row r="41" spans="1:9" ht="13.5" x14ac:dyDescent="0.2">
      <c r="A41" s="118" t="s">
        <v>27</v>
      </c>
      <c r="B41" s="119">
        <v>1</v>
      </c>
      <c r="C41" s="14"/>
      <c r="D41" s="14"/>
    </row>
    <row r="42" spans="1:9" ht="13.5" x14ac:dyDescent="0.2">
      <c r="A42" s="5" t="s">
        <v>38</v>
      </c>
      <c r="B42" s="6">
        <v>1</v>
      </c>
      <c r="C42" s="14"/>
      <c r="D42" s="14"/>
    </row>
    <row r="43" spans="1:9" ht="13.5" x14ac:dyDescent="0.2">
      <c r="A43" s="112"/>
      <c r="B43" s="112"/>
      <c r="C43" s="113" t="s">
        <v>50</v>
      </c>
      <c r="D43" s="111"/>
    </row>
    <row r="44" spans="1:9" ht="27" x14ac:dyDescent="0.2">
      <c r="A44" s="5" t="s">
        <v>33</v>
      </c>
      <c r="B44" s="6">
        <v>14</v>
      </c>
      <c r="C44" s="14"/>
      <c r="D44" s="14"/>
    </row>
    <row r="45" spans="1:9" ht="13.5" x14ac:dyDescent="0.2">
      <c r="A45" s="5" t="s">
        <v>36</v>
      </c>
      <c r="B45" s="6"/>
      <c r="C45" s="14"/>
      <c r="D45" s="14"/>
    </row>
    <row r="46" spans="1:9" ht="13.5" x14ac:dyDescent="0.2">
      <c r="A46" s="5" t="s">
        <v>38</v>
      </c>
      <c r="B46" s="6">
        <v>1</v>
      </c>
      <c r="C46" s="14"/>
      <c r="D46" s="14"/>
    </row>
    <row r="47" spans="1:9" ht="27" x14ac:dyDescent="0.2">
      <c r="A47" s="5" t="s">
        <v>33</v>
      </c>
      <c r="B47" s="6">
        <v>10</v>
      </c>
      <c r="C47" s="14"/>
      <c r="D47" s="14"/>
    </row>
    <row r="48" spans="1:9" ht="13.5" x14ac:dyDescent="0.2">
      <c r="A48" s="5" t="s">
        <v>36</v>
      </c>
      <c r="B48" s="6"/>
      <c r="C48" s="14"/>
      <c r="D48" s="14"/>
    </row>
    <row r="49" spans="1:9" ht="13.5" x14ac:dyDescent="0.2">
      <c r="A49" s="118" t="s">
        <v>27</v>
      </c>
      <c r="B49" s="119">
        <v>1</v>
      </c>
      <c r="C49" s="14"/>
      <c r="D49" s="14"/>
    </row>
    <row r="50" spans="1:9" ht="13.5" x14ac:dyDescent="0.2">
      <c r="A50" s="5" t="s">
        <v>38</v>
      </c>
      <c r="B50" s="6">
        <v>1</v>
      </c>
      <c r="C50" s="14"/>
      <c r="D50" s="14"/>
    </row>
    <row r="51" spans="1:9" ht="14.25" thickBot="1" x14ac:dyDescent="0.25">
      <c r="A51" s="7"/>
      <c r="B51" s="7"/>
      <c r="C51" s="15"/>
      <c r="D51" s="15"/>
    </row>
    <row r="52" spans="1:9" ht="14.25" thickBot="1" x14ac:dyDescent="0.25">
      <c r="A52" s="16" t="s">
        <v>22</v>
      </c>
      <c r="B52" s="16">
        <f>SUM(B28:B51)</f>
        <v>90</v>
      </c>
      <c r="C52" s="85" t="s">
        <v>39</v>
      </c>
      <c r="D52" s="17"/>
    </row>
    <row r="53" spans="1:9" ht="15" thickBot="1" x14ac:dyDescent="0.35">
      <c r="A53" s="18"/>
      <c r="B53" s="18"/>
      <c r="C53" s="18"/>
      <c r="D53" s="18"/>
    </row>
    <row r="54" spans="1:9" ht="18.75" thickBot="1" x14ac:dyDescent="0.25">
      <c r="A54" s="10" t="s">
        <v>14</v>
      </c>
      <c r="B54" s="11">
        <v>3</v>
      </c>
      <c r="C54" s="31"/>
      <c r="D54" s="33"/>
    </row>
    <row r="55" spans="1:9" ht="27.75" thickBot="1" x14ac:dyDescent="0.25">
      <c r="A55" s="12" t="s">
        <v>3</v>
      </c>
      <c r="B55" s="32" t="s">
        <v>15</v>
      </c>
      <c r="C55" s="12" t="s">
        <v>7</v>
      </c>
      <c r="D55" s="12" t="s">
        <v>13</v>
      </c>
    </row>
    <row r="56" spans="1:9" ht="13.5" x14ac:dyDescent="0.2">
      <c r="A56" s="112"/>
      <c r="B56" s="112"/>
      <c r="C56" s="113" t="s">
        <v>52</v>
      </c>
      <c r="D56" s="111"/>
    </row>
    <row r="57" spans="1:9" ht="13.5" x14ac:dyDescent="0.2">
      <c r="A57" s="118" t="s">
        <v>45</v>
      </c>
      <c r="B57" s="119">
        <v>8</v>
      </c>
      <c r="C57" s="120"/>
      <c r="D57" s="120"/>
    </row>
    <row r="58" spans="1:9" ht="13.5" x14ac:dyDescent="0.2">
      <c r="A58" s="118" t="s">
        <v>27</v>
      </c>
      <c r="B58" s="119">
        <v>3</v>
      </c>
      <c r="C58" s="120"/>
      <c r="D58" s="120"/>
      <c r="E58" s="37"/>
      <c r="F58" s="37"/>
      <c r="G58" s="37"/>
      <c r="H58" s="37"/>
      <c r="I58" s="37"/>
    </row>
    <row r="59" spans="1:9" ht="13.5" x14ac:dyDescent="0.2">
      <c r="A59" s="5" t="s">
        <v>38</v>
      </c>
      <c r="B59" s="6">
        <v>1</v>
      </c>
      <c r="C59" s="120"/>
      <c r="D59" s="120"/>
    </row>
    <row r="60" spans="1:9" ht="13.5" x14ac:dyDescent="0.2">
      <c r="A60" s="5" t="s">
        <v>21</v>
      </c>
      <c r="B60" s="6">
        <v>3</v>
      </c>
      <c r="C60" s="14" t="s">
        <v>56</v>
      </c>
      <c r="D60" s="120"/>
    </row>
    <row r="61" spans="1:9" ht="27" x14ac:dyDescent="0.2">
      <c r="A61" s="5" t="s">
        <v>34</v>
      </c>
      <c r="B61" s="6">
        <v>7</v>
      </c>
      <c r="C61" s="14"/>
      <c r="D61" s="120"/>
    </row>
    <row r="62" spans="1:9" ht="13.5" x14ac:dyDescent="0.2">
      <c r="A62" s="118" t="s">
        <v>27</v>
      </c>
      <c r="B62" s="6">
        <v>1</v>
      </c>
      <c r="C62" s="14"/>
      <c r="D62" s="120"/>
    </row>
    <row r="63" spans="1:9" ht="13.5" x14ac:dyDescent="0.2">
      <c r="A63" s="5" t="s">
        <v>38</v>
      </c>
      <c r="B63" s="6">
        <v>1</v>
      </c>
      <c r="C63" s="14"/>
      <c r="D63" s="120"/>
    </row>
    <row r="64" spans="1:9" ht="13.5" x14ac:dyDescent="0.2">
      <c r="A64" s="112"/>
      <c r="B64" s="112"/>
      <c r="C64" s="113" t="s">
        <v>48</v>
      </c>
      <c r="D64" s="111"/>
    </row>
    <row r="65" spans="1:4" ht="27" x14ac:dyDescent="0.2">
      <c r="A65" s="118" t="s">
        <v>34</v>
      </c>
      <c r="B65" s="119">
        <v>7</v>
      </c>
      <c r="C65" s="120"/>
      <c r="D65" s="120"/>
    </row>
    <row r="66" spans="1:4" ht="13.5" x14ac:dyDescent="0.2">
      <c r="A66" s="118" t="s">
        <v>45</v>
      </c>
      <c r="B66" s="119">
        <v>3</v>
      </c>
      <c r="C66" s="120"/>
      <c r="D66" s="120"/>
    </row>
    <row r="67" spans="1:4" ht="13.5" x14ac:dyDescent="0.2">
      <c r="A67" s="118" t="s">
        <v>27</v>
      </c>
      <c r="B67" s="119">
        <v>1</v>
      </c>
      <c r="C67" s="120"/>
      <c r="D67" s="120"/>
    </row>
    <row r="68" spans="1:4" ht="13.5" x14ac:dyDescent="0.2">
      <c r="A68" s="5" t="s">
        <v>38</v>
      </c>
      <c r="B68" s="6">
        <v>1</v>
      </c>
      <c r="C68" s="120"/>
      <c r="D68" s="120"/>
    </row>
    <row r="69" spans="1:4" ht="13.5" x14ac:dyDescent="0.2">
      <c r="A69" s="112"/>
      <c r="B69" s="112"/>
      <c r="C69" s="113" t="s">
        <v>49</v>
      </c>
      <c r="D69" s="111"/>
    </row>
    <row r="70" spans="1:4" ht="27" x14ac:dyDescent="0.2">
      <c r="A70" s="118" t="s">
        <v>35</v>
      </c>
      <c r="B70" s="119">
        <v>14</v>
      </c>
      <c r="C70" s="120"/>
      <c r="D70" s="120"/>
    </row>
    <row r="71" spans="1:4" ht="13.5" x14ac:dyDescent="0.2">
      <c r="A71" s="118" t="s">
        <v>38</v>
      </c>
      <c r="B71" s="119">
        <v>1</v>
      </c>
      <c r="C71" s="120"/>
      <c r="D71" s="120"/>
    </row>
    <row r="72" spans="1:4" ht="13.5" x14ac:dyDescent="0.2">
      <c r="A72" s="118" t="s">
        <v>27</v>
      </c>
      <c r="B72" s="119">
        <v>11</v>
      </c>
      <c r="C72" s="120"/>
      <c r="D72" s="120"/>
    </row>
    <row r="73" spans="1:4" ht="13.5" x14ac:dyDescent="0.2">
      <c r="A73" s="118" t="s">
        <v>38</v>
      </c>
      <c r="B73" s="119">
        <v>1</v>
      </c>
      <c r="C73" s="120"/>
      <c r="D73" s="120"/>
    </row>
    <row r="74" spans="1:4" ht="13.5" x14ac:dyDescent="0.2">
      <c r="A74" s="112"/>
      <c r="B74" s="112"/>
      <c r="C74" s="113" t="s">
        <v>50</v>
      </c>
      <c r="D74" s="111"/>
    </row>
    <row r="75" spans="1:4" ht="13.5" x14ac:dyDescent="0.2">
      <c r="A75" s="118" t="s">
        <v>45</v>
      </c>
      <c r="B75" s="119">
        <v>14</v>
      </c>
      <c r="C75" s="120" t="s">
        <v>58</v>
      </c>
      <c r="D75" s="120"/>
    </row>
    <row r="76" spans="1:4" ht="13.5" x14ac:dyDescent="0.2">
      <c r="A76" s="118" t="s">
        <v>38</v>
      </c>
      <c r="B76" s="119">
        <v>1</v>
      </c>
      <c r="C76" s="120"/>
      <c r="D76" s="120"/>
    </row>
    <row r="77" spans="1:4" ht="13.5" x14ac:dyDescent="0.2">
      <c r="A77" s="118" t="s">
        <v>57</v>
      </c>
      <c r="B77" s="119">
        <v>8</v>
      </c>
      <c r="C77" s="120"/>
      <c r="D77" s="120"/>
    </row>
    <row r="78" spans="1:4" ht="13.5" x14ac:dyDescent="0.2">
      <c r="A78" s="118" t="s">
        <v>27</v>
      </c>
      <c r="B78" s="119">
        <v>3</v>
      </c>
      <c r="C78" s="120"/>
      <c r="D78" s="120"/>
    </row>
    <row r="79" spans="1:4" ht="13.5" x14ac:dyDescent="0.2">
      <c r="A79" s="118" t="s">
        <v>38</v>
      </c>
      <c r="B79" s="119">
        <v>1</v>
      </c>
      <c r="C79" s="120"/>
      <c r="D79" s="120"/>
    </row>
    <row r="80" spans="1:4" ht="14.25" thickBot="1" x14ac:dyDescent="0.25">
      <c r="A80" s="7"/>
      <c r="B80" s="7"/>
      <c r="C80" s="15"/>
      <c r="D80" s="15"/>
    </row>
    <row r="81" spans="1:4" ht="14.25" thickBot="1" x14ac:dyDescent="0.25">
      <c r="A81" s="16" t="s">
        <v>22</v>
      </c>
      <c r="B81" s="16">
        <f>SUM(B56:B80)</f>
        <v>90</v>
      </c>
      <c r="C81" s="85" t="s">
        <v>39</v>
      </c>
      <c r="D81" s="17"/>
    </row>
    <row r="82" spans="1:4" ht="15" thickBot="1" x14ac:dyDescent="0.35">
      <c r="A82" s="18"/>
      <c r="B82" s="18"/>
      <c r="C82" s="18"/>
      <c r="D82" s="18"/>
    </row>
    <row r="83" spans="1:4" ht="18.75" thickBot="1" x14ac:dyDescent="0.25">
      <c r="A83" s="10" t="s">
        <v>14</v>
      </c>
      <c r="B83" s="11">
        <v>4</v>
      </c>
      <c r="C83" s="31"/>
      <c r="D83" s="33"/>
    </row>
    <row r="84" spans="1:4" ht="27.75" thickBot="1" x14ac:dyDescent="0.25">
      <c r="A84" s="12" t="s">
        <v>3</v>
      </c>
      <c r="B84" s="32" t="s">
        <v>15</v>
      </c>
      <c r="C84" s="12" t="s">
        <v>7</v>
      </c>
      <c r="D84" s="12" t="s">
        <v>13</v>
      </c>
    </row>
    <row r="85" spans="1:4" ht="13.5" x14ac:dyDescent="0.2">
      <c r="A85" s="112"/>
      <c r="B85" s="112"/>
      <c r="C85" s="113" t="s">
        <v>52</v>
      </c>
      <c r="D85" s="111"/>
    </row>
    <row r="86" spans="1:4" ht="13.5" x14ac:dyDescent="0.2">
      <c r="A86" s="5" t="s">
        <v>27</v>
      </c>
      <c r="B86" s="6">
        <v>11</v>
      </c>
      <c r="C86" s="14"/>
      <c r="D86" s="14"/>
    </row>
    <row r="87" spans="1:4" ht="13.5" x14ac:dyDescent="0.2">
      <c r="A87" s="118" t="s">
        <v>38</v>
      </c>
      <c r="B87" s="119">
        <v>1</v>
      </c>
      <c r="C87" s="120"/>
      <c r="D87" s="120"/>
    </row>
    <row r="88" spans="1:4" ht="13.5" x14ac:dyDescent="0.2">
      <c r="A88" s="5" t="s">
        <v>21</v>
      </c>
      <c r="B88" s="6">
        <v>3</v>
      </c>
      <c r="C88" s="14" t="s">
        <v>56</v>
      </c>
      <c r="D88" s="14"/>
    </row>
    <row r="89" spans="1:4" ht="13.5" x14ac:dyDescent="0.2">
      <c r="A89" s="5" t="s">
        <v>27</v>
      </c>
      <c r="B89" s="6">
        <v>8</v>
      </c>
      <c r="C89" s="14" t="s">
        <v>59</v>
      </c>
      <c r="D89" s="14"/>
    </row>
    <row r="90" spans="1:4" ht="13.5" x14ac:dyDescent="0.2">
      <c r="A90" s="118" t="s">
        <v>38</v>
      </c>
      <c r="B90" s="119">
        <v>1</v>
      </c>
      <c r="C90" s="120"/>
      <c r="D90" s="120"/>
    </row>
    <row r="91" spans="1:4" ht="13.5" x14ac:dyDescent="0.2">
      <c r="A91" s="112"/>
      <c r="B91" s="112"/>
      <c r="C91" s="113" t="s">
        <v>60</v>
      </c>
      <c r="D91" s="111"/>
    </row>
    <row r="92" spans="1:4" ht="13.5" x14ac:dyDescent="0.2">
      <c r="A92" s="5" t="s">
        <v>21</v>
      </c>
      <c r="B92" s="6">
        <v>66</v>
      </c>
      <c r="C92" s="14" t="s">
        <v>61</v>
      </c>
      <c r="D92" s="14"/>
    </row>
    <row r="93" spans="1:4" ht="14.25" thickBot="1" x14ac:dyDescent="0.25">
      <c r="A93" s="7"/>
      <c r="B93" s="7"/>
      <c r="C93" s="15"/>
      <c r="D93" s="15"/>
    </row>
    <row r="94" spans="1:4" ht="14.25" thickBot="1" x14ac:dyDescent="0.25">
      <c r="A94" s="16" t="s">
        <v>22</v>
      </c>
      <c r="B94" s="16">
        <f>SUM(B85:B93)</f>
        <v>90</v>
      </c>
      <c r="C94" s="85" t="s">
        <v>39</v>
      </c>
      <c r="D94" s="17"/>
    </row>
    <row r="95" spans="1:4" ht="14.25" x14ac:dyDescent="0.3">
      <c r="A95" s="18"/>
      <c r="B95" s="18"/>
      <c r="C95" s="18"/>
      <c r="D95" s="18"/>
    </row>
    <row r="96" spans="1:4" x14ac:dyDescent="0.2">
      <c r="A96" s="84" t="s">
        <v>40</v>
      </c>
    </row>
    <row r="102" spans="1:4" s="81" customFormat="1" x14ac:dyDescent="0.2">
      <c r="A102" s="51"/>
      <c r="B102" s="51"/>
      <c r="C102" s="51"/>
      <c r="D102" s="51"/>
    </row>
  </sheetData>
  <sheetProtection insertRows="0" selectLockedCells="1"/>
  <dataValidations count="4">
    <dataValidation type="list" allowBlank="1" showInputMessage="1" showErrorMessage="1" sqref="A28:A51 A3:A23 A85:A93 A56:A8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2 B81 B94">
      <formula1>0</formula1>
      <formula2>NbPerWeek * NbQuartPer</formula2>
    </dataValidation>
    <dataValidation type="whole" errorStyle="warning" operator="greaterThan" allowBlank="1" showInputMessage="1" showErrorMessage="1" errorTitle="Durée en 1/3 de période" error="Le nombre doit être de type entier" sqref="F23:F30 B28:B51 B3:B23 B85:B93 B56:B8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1">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2017-06-02T14:28:44Z</dcterms:modified>
  <cp:contentStatus>Version 8.0</cp:contentStatus>
</cp:coreProperties>
</file>