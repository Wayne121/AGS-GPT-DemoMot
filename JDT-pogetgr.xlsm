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pogetgr\Desktop\"/>
    </mc:Choice>
  </mc:AlternateContent>
  <bookViews>
    <workbookView xWindow="0" yWindow="0" windowWidth="25200" windowHeight="11850" activeTab="6"/>
  </bookViews>
  <sheets>
    <sheet name="Donnees" sheetId="7" r:id="rId1"/>
    <sheet name="Diagramme" sheetId="165" r:id="rId2"/>
    <sheet name="DiagramHeader" sheetId="10" state="hidden" r:id="rId3"/>
    <sheet name="DiagramFooter" sheetId="130" state="hidden" r:id="rId4"/>
    <sheet name="PlanificationWeek" sheetId="11" state="hidden" r:id="rId5"/>
    <sheet name="achievementWeek" sheetId="154" state="hidden" r:id="rId6"/>
    <sheet name="JNLTRAV" sheetId="159" r:id="rId7"/>
    <sheet name="Planning" sheetId="160"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JNLTRAV!$A$1:$D$45</definedName>
    <definedName name="_xlnm.Print_Area" localSheetId="1">Diagramme!$A$1:$MZ$39</definedName>
    <definedName name="_xlnm.Print_Area" localSheetId="0">Donnees!$A$1:$G$54</definedName>
    <definedName name="_xlnm.Print_Area" localSheetId="6">JNLTRAV!$A$1:$D$134</definedName>
    <definedName name="_xlnm.Print_Area" localSheetId="7">Planning!$A$1:$D$93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5" i="165" l="1"/>
  <c r="B33" i="165"/>
  <c r="B31" i="165"/>
  <c r="B29" i="165"/>
  <c r="B27" i="165"/>
  <c r="B25" i="165"/>
  <c r="B23" i="165"/>
  <c r="B21" i="165"/>
  <c r="B19" i="165"/>
  <c r="B17" i="165"/>
  <c r="B15" i="165"/>
  <c r="B13" i="165"/>
  <c r="B11" i="165"/>
  <c r="B9" i="165"/>
  <c r="B7" i="165"/>
  <c r="B5" i="165"/>
  <c r="C38" i="165"/>
  <c r="C37" i="165"/>
  <c r="B75" i="159" l="1"/>
  <c r="B94" i="160" l="1"/>
  <c r="B81" i="160"/>
  <c r="B52" i="160"/>
  <c r="B24" i="160"/>
  <c r="B133" i="159"/>
  <c r="B114" i="159"/>
  <c r="B44" i="159"/>
  <c r="B18" i="154" l="1"/>
  <c r="B13" i="11"/>
</calcChain>
</file>

<file path=xl/sharedStrings.xml><?xml version="1.0" encoding="utf-8"?>
<sst xmlns="http://schemas.openxmlformats.org/spreadsheetml/2006/main" count="404" uniqueCount="159">
  <si>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</si>
  <si>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</si>
  <si>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</si>
  <si>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</si>
  <si>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</si>
  <si>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</si>
  <si>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</si>
  <si>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</si>
  <si>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</si>
  <si>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</si>
  <si>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</si>
  <si>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</si>
  <si>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</si>
  <si>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</si>
  <si>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</si>
  <si>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</si>
  <si>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</si>
  <si>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</si>
  <si>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</si>
  <si>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</si>
  <si>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</si>
  <si>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</si>
  <si>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</si>
  <si>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</si>
  <si>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</si>
  <si>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CIN2A</t>
  </si>
  <si>
    <t>ETML</t>
  </si>
  <si>
    <t>Documentation</t>
  </si>
  <si>
    <t>Découverte du programme</t>
  </si>
  <si>
    <t>Recherche</t>
  </si>
  <si>
    <t>Création des options</t>
  </si>
  <si>
    <t>Création grille de notes</t>
  </si>
  <si>
    <t>Création de grille adaptée</t>
  </si>
  <si>
    <t>Insertion Module, notes</t>
  </si>
  <si>
    <t>Calcule automatique des moyennes</t>
  </si>
  <si>
    <t>Affichage des résultats</t>
  </si>
  <si>
    <t>SQLite</t>
  </si>
  <si>
    <t>Préferences système</t>
  </si>
  <si>
    <t>Journal de travail</t>
  </si>
  <si>
    <t>Max. 90</t>
  </si>
  <si>
    <t>STOP</t>
  </si>
  <si>
    <t>S 1</t>
  </si>
  <si>
    <t>S 2</t>
  </si>
  <si>
    <t>S 3</t>
  </si>
  <si>
    <t>S 4</t>
  </si>
  <si>
    <t>Test</t>
  </si>
  <si>
    <t>Création du journal de travail</t>
  </si>
  <si>
    <t>Création du dépôt</t>
  </si>
  <si>
    <t>MARDI</t>
  </si>
  <si>
    <t>MERCREDI</t>
  </si>
  <si>
    <t>VENDREDI</t>
  </si>
  <si>
    <t>Création du cahier des charges</t>
  </si>
  <si>
    <t>LUNDI</t>
  </si>
  <si>
    <t>Création interface graphique et Rapport</t>
  </si>
  <si>
    <t>Création de l'application</t>
  </si>
  <si>
    <t>Lundi congé</t>
  </si>
  <si>
    <t>Scéance de classe</t>
  </si>
  <si>
    <t>Réparation des bugs</t>
  </si>
  <si>
    <t>Test sur téléphone</t>
  </si>
  <si>
    <t>Création de la présentation</t>
  </si>
  <si>
    <t>RESTE DE LA SEMAINE</t>
  </si>
  <si>
    <t>Temps additionnel pour les présentation et les rangements de la classe</t>
  </si>
  <si>
    <t>Création du cahier des charges selon les critères du projet avec André</t>
  </si>
  <si>
    <t>H:\GitKraken\DemoMot\AGS-GPT-DemoMot\DemoMot-ags-gpt-ApplicationAndroidJava.docx</t>
  </si>
  <si>
    <t>Création du dépôt Github, initial commit, configuration sur GitKraken pour GitFlow</t>
  </si>
  <si>
    <t>https://github.com/Wayne121/AGS-GPT-DemoMot/</t>
  </si>
  <si>
    <t>H:\GitKraken\DemoMot\AGS-GPT-DemoMot\Modele-JDT.xlsm</t>
  </si>
  <si>
    <t>Création du modèle du Journal de Travail avec plannification pour les 4 semaines qu'André et moi allons utiliser pour le projet</t>
  </si>
  <si>
    <t>Nous sommes partis demander des conseils à KBA concernant notre projet et Cahier des charges, quelques modifications ont été apportés au cahier des charges et nous en savont un peu plus sur Android Studio</t>
  </si>
  <si>
    <t>Visualisation d'une vidéo youtube tutoriel sur Android Studio</t>
  </si>
  <si>
    <t>https://www.youtube.com/watch?v=TCJFoExOBUE</t>
  </si>
  <si>
    <t>http://jmdoudoux.developpez.com/cours/developpons/java/</t>
  </si>
  <si>
    <t xml:space="preserve">Recherches d'un cours complet sur Java qui puisse nous être utile en cas de problème pendant la programmation </t>
  </si>
  <si>
    <t>Séance de classe - 30minutes</t>
  </si>
  <si>
    <t>Quelques essais sur Android studio et découverte du logiciel =&gt; Rien de concluant pour l'instant un simple Hello World</t>
  </si>
  <si>
    <t>Mise à Jour du Journal De Travail et Push sur le Dépôt Git</t>
  </si>
  <si>
    <t>Essais pour installer l'apk pour la tester sur mon Android =&gt; Soit l'application se ferme, soit l'installation échoue, je réessayerai dans quelques jours</t>
  </si>
  <si>
    <t>H:\GitKraken\DemoMot\AGS-GPT-DemoMot\AppTest1.png</t>
  </si>
  <si>
    <t>Mise en place d'une application "compteur" permettant d'incrémenter un nombre lors de l'appui d'un bouton
Commentaires absent pour le moment dû au fait que je ne comprend pas encore bien le code</t>
  </si>
  <si>
    <t>Recherches sur les EditText pour mettre un champ dans l'application</t>
  </si>
  <si>
    <t>Mise à jour du JDT</t>
  </si>
  <si>
    <t>Modifications de l'application pour mettre un champ EditText qui modifie le nombre de click effectué</t>
  </si>
  <si>
    <t xml:space="preserve">Création de l'interface d'une nouvelle application qui converti les celsius en farhenheit et vice versa. </t>
  </si>
  <si>
    <t xml:space="preserve">Création des algorithmes de convertions et affichage </t>
  </si>
  <si>
    <t>(fahrenheit = celsius * 9/5 +32;) 
(celsius = (fahrenheit-32)*5/9;)</t>
  </si>
  <si>
    <t>http://www.programcreek.com/java-api-examples/android.view.View.OnKeyListener</t>
  </si>
  <si>
    <t>Essais sur les KeyEvent pour que le texte se valide uniquement quand le bouton ENTER est pressé</t>
  </si>
  <si>
    <t>Test pour pouvoir reset la zone de texte lors de l'appui sur ENTER =&gt; problème l'application crash dû au fait que l'application ne veut pas mettre un texte null dans la zone de texte ou dans un TextView. Je ferais probablement des recherches là dessus cet après midi</t>
  </si>
  <si>
    <t>Mise à Jour du Journal De Travail</t>
  </si>
  <si>
    <t>https://www.youtube.com/watch?v=MJ_32Tuuu74</t>
  </si>
  <si>
    <t>H:\GitKraken\DemoMot\AGS-GPT-DemoMot\celtofah.png</t>
  </si>
  <si>
    <t>Recherches encore une fois pour installer une APK sur mon smartphone =&gt; Bug au niveau de la compilation</t>
  </si>
  <si>
    <t>https://developer.android.com/studio/publish/app-signing.html
https://www.youtube.com/watch?v=riSZC3xvHas</t>
  </si>
  <si>
    <t>Régler le problème de l'application qui crash pour que le ENTER fonctionne</t>
  </si>
  <si>
    <t>Effacer ce qu'il y a dans le champ après avoir appuyé sur ENTER =&gt; pas réussi dû au problème du champ null</t>
  </si>
  <si>
    <t>Création de la maquette graphique du site</t>
  </si>
  <si>
    <t>Maquette</t>
  </si>
  <si>
    <t>Demande de conseils à KBA</t>
  </si>
  <si>
    <t xml:space="preserve">Recherches pour le débogage USB et création d'apk pour pouvoir tester sur mon smartphone =&gt; rien trouvé de très concluant encore une fois. Sur mon PC personnel fonctionne correctement </t>
  </si>
  <si>
    <t>Recherches sur les background, compliqué à changer dynamiquement, je verrai plus tard si on a le temps de le faire</t>
  </si>
  <si>
    <t>Mise à Jour du JdT</t>
  </si>
  <si>
    <t>https://stackoverflow.com/questions/7478023/how-to-set-background-color-in-the-xml-layout
https://stackoverflow.com/questions/2748830/how-to-change-background-color-in-android-app</t>
  </si>
  <si>
    <t>Ajout d'un background de couleur à l'application CelToFah (Statique)</t>
  </si>
  <si>
    <t>Recherches pour créer un bouton dynamiquement</t>
  </si>
  <si>
    <t>Intégration dans un code le bouton créé dynamiquement</t>
  </si>
  <si>
    <t>Réfléxion pour savoir comment placer les boutons quand une matière est créée =&gt; Pseudo code et croquis de l'interface sur papier pour avoir moins de difficulté à le coder</t>
  </si>
  <si>
    <t>https://stackoverflow.com/questions/15082432/how-to-create-button-dynamically-in-android</t>
  </si>
  <si>
    <t>(Photo d'un croquis plus propre plus tard)</t>
  </si>
  <si>
    <t>Mise à jour du JDT et push git</t>
  </si>
  <si>
    <t>Congé - Pentecôte</t>
  </si>
  <si>
    <t xml:space="preserve">Récolte des données (Screen size, button size, margin) et recherches pour pouvoir les placer dynamiquement </t>
  </si>
  <si>
    <t>https://danielme.com/tip-android-29-layouts-dinamicos-anadir-vistas-programaticamente/</t>
  </si>
  <si>
    <t>Ajout dynamiquement avec une autre méthode</t>
  </si>
  <si>
    <t>Essais d'ajout de boutons dynamiquement =&gt; fonctionne mais avec une "mauvaise" méthode pour le faire</t>
  </si>
  <si>
    <t>Ajout des boutons dynamiquement mais problème de positionnement quand il y a plusieurs colonnes, la 2ème colonne garde la meme position Y au lieu de revenir en haut</t>
  </si>
  <si>
    <t>https://developer.android.com/reference/android/widget/GridLayout.html</t>
  </si>
  <si>
    <t>Recherche et différents essais pour remettre la 2ème colonne en haut par exemple btn.setGravity ou btn.SetY mais fonctionne pas =&gt; actuellement essais avec un GridLayout</t>
  </si>
  <si>
    <t xml:space="preserve">Mise en forme des boutons, le GridLayout était la solution </t>
  </si>
  <si>
    <t>https://stackoverflow.com/questions/7444703/how-to-set-androidlayout-column-programmatically</t>
  </si>
  <si>
    <t>Mise en forme des boutons pour qu'ils soient adaptés selon la taille de l'écran : Nombre de boutons par colonne, par ligne mais compliqué de faire selon l'orientation du téléphone (orientation paysage)</t>
  </si>
  <si>
    <t xml:space="preserve">Ajouts de commentaires sur le code </t>
  </si>
  <si>
    <t>Recherches pour changer dynamiquement les couleurs du colors.xml depuis le code =&gt; compliqué car dans un XML et apparement pas de méthode pour, je verrai vendredi si c'est possible d'une autre façon</t>
  </si>
  <si>
    <t>Mise à jour du JdT</t>
  </si>
  <si>
    <t>Ajouts des couleurs sur le spinner pour changer de theme, ajout de l'hexadecimal de la couleur + la couleur en plus sombre (Vidéo expliquant le choix de couleurs et site pour les choisir)</t>
  </si>
  <si>
    <t xml:space="preserve">Recherches pour changer dynamiquement les couleurs pour le theme mais rien de concluant c'est beaucoup trop compliqué de changer le XML dynamiquement je n'ai pas les connaissances nécessaire pour le faire. Mais j'ai trouvé une méthode setTheme(), en mettant plusieurs theme dans le styles.xml et en les nommant, je peux choisir le theme voulu. </t>
  </si>
  <si>
    <t>http://www.javarticles.com/2015/04/android-set-theme-dynamically.html</t>
  </si>
  <si>
    <t xml:space="preserve">https://material.io/guidelines/style/color.html
https://material.io/color/#!/?view.left=0&amp;view.right=0
</t>
  </si>
  <si>
    <t>Petit oubli de couleurs, je n'ai pas pris de couleur pour le texte selon le theme et le blanc de base ne va pas bien partout. Je prends la couleur de texte proposée selon les couleurs que j'ai choisi =&gt; plus compliqué que prévu j'ai dû faire beaucoup d'essais avant d'arriver à quelque chose de fonctionnel niveau code.</t>
  </si>
  <si>
    <t>https://material.io/color/#!/?view.left=0&amp;view.right=0
https://teamtreehouse.com/community/actionbar-title-text-color</t>
  </si>
  <si>
    <t>Mise en place du changement du thème selon le choix de l'utilisateur</t>
  </si>
  <si>
    <t>Application qui crash quand on va dans les options =&gt; problème dû au fait que j'instensiais un bouton avant de le créer.</t>
  </si>
  <si>
    <t>Essais pour changer le theme selon le choix de l'utilisateur mais problème au niveau de la variable qui récupère le theme que l'utilisateur veut utiliser. Normalement je fais "setTheme(R.style.redTheme)", redTheme correspondant a un theme que j'ai créé dans style.xml mais à la place de redTheme j'essaye de mettre une variable, ce qui ne fonctionne pas car il veut un identifier</t>
  </si>
  <si>
    <t>https://www.developpez.net/forums/d1709031/java/general-java/java-mobiles/android/probleme-variable-identifier-expected/</t>
  </si>
  <si>
    <t>N'arrivant pas à faire des options pour la couleur dynamiquement dû à un manque de connaissances en Java, j'ai posé la question sur un forum communautaire de programmation et la 2ème réponse m'a permi de faire quelque chose qui fonctionne</t>
  </si>
  <si>
    <t>Ajout des couleurs du titre selon le theme pour avoir un beau rendu, normalement un gros switch  pour comparer les couleurs dans chaque activité et mettre le texte en couleur mais on a peu de thème où le texte est noir Je crée une variable themeTextColor qui contient soit #000000 ou #FFFFFF il suffira de faire simplement un if(themeTextColor == "#000000") et un else pour faire la condition de quelle couleur le texte sera</t>
  </si>
  <si>
    <t>https://mobicodeblog.wordpress.com/2016/09/03/dynamic-theme-switching-in-android-without-activity-restart/</t>
  </si>
  <si>
    <t>Faire en sorte que dès qu'on appuie sur le bouton pour valider le thème ça change le thème partout directement. On a besoin de recharger l'activité sur laquelle on est pour actualiser le thème =&gt; J'ai fais un rechargement manuel de l'activité des options quand on appuie sur valider mais il reste la page d'accueil qu'on ne peut pas changer et l'activité avant d'aller dans les options reste ouverte, on la recharge pas donc le thème reste comme avant le changement, il faut faire retour et réouvrir l'activité 
Besoin de stocker d'une manière autre que BDD le thème (si possible)</t>
  </si>
  <si>
    <t>Medecin de 9h50 à 11h25</t>
  </si>
  <si>
    <t>https://developer.android.com/reference/android/app/Activity.html</t>
  </si>
  <si>
    <t>Essais pour régler le problème de ce matin (ci-dessus) :
- Refresh les autres activités =&gt; fonctionne apparement que si on est sur l'activité à refresh
- Se faire rediriger sur l'activité principale quand on valide les changement =&gt; Mais ça crée une nouvelle activité par dessus l'ancienne, ça ne fait que "cacher" celle qui est pas mise à jour
- finishAffinity() à la place de finishActivity() ce qui ferme toutes les activités ouvertes, puis un startActivity pour ouvrir l'activité principale =&gt; Fonctionne reste plus que stocker le thème</t>
  </si>
  <si>
    <t>Séance de classe</t>
  </si>
  <si>
    <t xml:space="preserve">Apprentissage des SharedPreferences qui permettent de stocker des variables et autre informations </t>
  </si>
  <si>
    <t xml:space="preserve">Mise à jour du JdT </t>
  </si>
  <si>
    <t>Réglages d'un bug sur les options qui font qu'une méthode du SharedPreferences ne fonctionne pas =&gt; il n'était pas au bon endroit dans mon programme faute d'innatention</t>
  </si>
  <si>
    <t>Finition du SharedPreferences il fonctionne donc je crée une méthode pour mettre le théme il suffira juste d'appeler la méthode pour changer le théme au lieu d'ajouter une dizaine de ligne de codes sur chaques activité
Test du bon fonctionnement sur toutes les activités, si je ferme l'application le théme reste le même etc..</t>
  </si>
  <si>
    <t>Ajouts des commentaires sur l'activité des options</t>
  </si>
  <si>
    <t xml:space="preserve">Commencement du Rapport </t>
  </si>
  <si>
    <t>Réglages de quelques petits problèmes sur l'app, notamment sur les couleurs du thème</t>
  </si>
  <si>
    <t>Création de l'apk + test sur mon smartphone =&gt; fonctionne bien</t>
  </si>
  <si>
    <t>Ajout des textViews pour calculer la moyenne d'une branche</t>
  </si>
  <si>
    <t>Algorithme de calcul des moyennes</t>
  </si>
  <si>
    <t xml:space="preserve">Différentes recherches pour convertir string en int, int en double etc… </t>
  </si>
  <si>
    <t xml:space="preserve">Affichage de couleurs différentes si la moyenne est en dessou ou au dessus de 4 
</t>
  </si>
  <si>
    <t>Algorithme de calcul des moyennes pondérée</t>
  </si>
  <si>
    <t>Réglages sur la bdd pour accepter les notes pondérées</t>
  </si>
  <si>
    <t>Début d'algorithme pour calculer la moyenne général d'une année et l'afficher</t>
  </si>
  <si>
    <t>Je ne participe pas au camp de sport, j'ai pris du temps pour aller voir le prof de sport et Mr. Sahli et savoir quoi faire la semaine prochaine</t>
  </si>
  <si>
    <t>Algorithme de calcul pour les moyennes de toutes les années</t>
  </si>
  <si>
    <t>Suppression branches =&gt; bug au niveau des Ids expliqués dans la doc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</si>
</sst>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color theme="0"/>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1"/>
        <bgColor indexed="64"/>
      </patternFill>
    </fill>
    <fill>
      <patternFill patternType="solid">
        <fgColor indexed="12"/>
        <bgColor indexed="64"/>
      </patternFill>
    </fill>
  </fills>
  <borders count="5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dashed">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61">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20" fillId="15" borderId="1" xfId="1"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top" wrapText="1"/>
      <protection locked="0"/>
    </xf>
    <xf numFmtId="0" fontId="20"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top" wrapText="1"/>
      <protection locked="0"/>
    </xf>
    <xf numFmtId="0" fontId="16" fillId="15" borderId="0" xfId="0" applyFont="1" applyFill="1" applyBorder="1"/>
    <xf numFmtId="0" fontId="16" fillId="15" borderId="0" xfId="0" applyFont="1" applyFill="1"/>
    <xf numFmtId="0" fontId="20" fillId="15" borderId="0" xfId="0" applyFont="1" applyFill="1" applyBorder="1" applyAlignment="1" applyProtection="1">
      <alignment horizontal="center" vertical="center" wrapText="1"/>
      <protection locked="0"/>
    </xf>
    <xf numFmtId="0" fontId="20" fillId="15" borderId="0"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0" fillId="15" borderId="1"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10" fillId="15" borderId="33" xfId="0" applyFont="1" applyFill="1" applyBorder="1" applyAlignment="1" applyProtection="1">
      <alignment horizontal="center" vertical="center" wrapText="1"/>
      <protection locked="0"/>
    </xf>
    <xf numFmtId="0" fontId="20" fillId="15" borderId="33" xfId="0" applyFont="1" applyFill="1" applyBorder="1" applyAlignment="1" applyProtection="1">
      <alignment horizontal="center" vertical="top" wrapText="1"/>
      <protection locked="0"/>
    </xf>
    <xf numFmtId="0" fontId="10" fillId="15" borderId="33" xfId="0" applyFont="1" applyFill="1" applyBorder="1" applyAlignment="1" applyProtection="1">
      <alignment horizontal="left" vertical="top" wrapText="1"/>
      <protection locked="0"/>
    </xf>
    <xf numFmtId="0" fontId="2" fillId="0" borderId="33" xfId="1" applyFill="1" applyBorder="1" applyAlignment="1" applyProtection="1">
      <alignment horizontal="left" vertical="top" wrapText="1"/>
      <protection locked="0"/>
    </xf>
    <xf numFmtId="0" fontId="0" fillId="0" borderId="0" xfId="0" applyAlignment="1">
      <alignment wrapText="1"/>
    </xf>
    <xf numFmtId="0" fontId="10" fillId="12" borderId="32" xfId="0" applyFont="1" applyFill="1" applyBorder="1" applyAlignment="1" applyProtection="1">
      <alignment horizontal="center" vertical="center" wrapText="1"/>
    </xf>
    <xf numFmtId="0" fontId="11" fillId="12" borderId="11" xfId="0" applyFont="1" applyFill="1" applyBorder="1" applyAlignment="1" applyProtection="1">
      <alignment horizontal="left" vertical="top" wrapText="1"/>
    </xf>
    <xf numFmtId="0" fontId="10" fillId="12" borderId="11" xfId="0" applyFont="1" applyFill="1" applyBorder="1" applyAlignment="1" applyProtection="1">
      <alignment horizontal="left" vertical="top" wrapText="1"/>
    </xf>
    <xf numFmtId="0" fontId="10" fillId="0" borderId="48" xfId="0" applyFont="1" applyFill="1" applyBorder="1" applyAlignment="1" applyProtection="1">
      <alignment horizontal="left" vertical="top" wrapText="1"/>
      <protection locked="0"/>
    </xf>
    <xf numFmtId="0" fontId="10" fillId="0" borderId="49" xfId="0" applyFont="1" applyFill="1" applyBorder="1" applyAlignment="1" applyProtection="1">
      <alignment horizontal="left" vertical="top" wrapText="1"/>
      <protection locked="0"/>
    </xf>
    <xf numFmtId="0" fontId="10" fillId="0" borderId="50" xfId="0" applyFont="1" applyFill="1" applyBorder="1" applyAlignment="1" applyProtection="1">
      <alignment horizontal="left" vertical="top" wrapText="1"/>
      <protection locked="0"/>
    </xf>
    <xf numFmtId="0" fontId="10" fillId="0" borderId="51" xfId="0" applyFont="1" applyFill="1" applyBorder="1" applyAlignment="1" applyProtection="1">
      <alignment horizontal="center" vertical="center" wrapText="1"/>
      <protection locked="0"/>
    </xf>
    <xf numFmtId="0" fontId="10" fillId="0" borderId="49" xfId="0" applyFont="1" applyFill="1" applyBorder="1" applyAlignment="1" applyProtection="1">
      <alignment horizontal="center" vertical="center" wrapText="1"/>
      <protection locked="0"/>
    </xf>
    <xf numFmtId="0" fontId="10" fillId="0" borderId="50" xfId="0" applyFont="1" applyFill="1" applyBorder="1" applyAlignment="1" applyProtection="1">
      <alignment horizontal="center" vertical="center" wrapText="1"/>
      <protection locked="0"/>
    </xf>
    <xf numFmtId="0" fontId="10" fillId="0" borderId="52" xfId="0" applyFont="1" applyFill="1" applyBorder="1" applyAlignment="1" applyProtection="1">
      <alignment horizontal="center" vertical="center" wrapText="1"/>
      <protection locked="0"/>
    </xf>
    <xf numFmtId="0" fontId="10" fillId="0" borderId="52" xfId="0" applyFont="1" applyFill="1" applyBorder="1" applyAlignment="1" applyProtection="1">
      <alignment horizontal="left" vertical="top" wrapText="1"/>
      <protection locked="0"/>
    </xf>
    <xf numFmtId="0" fontId="10" fillId="0" borderId="53" xfId="0" applyFont="1" applyFill="1" applyBorder="1" applyAlignment="1" applyProtection="1">
      <alignment horizontal="left" vertical="top" wrapText="1"/>
      <protection locked="0"/>
    </xf>
    <xf numFmtId="0" fontId="2" fillId="0" borderId="48" xfId="1" applyFill="1" applyBorder="1" applyAlignment="1" applyProtection="1">
      <alignment horizontal="left" vertical="top" wrapText="1"/>
      <protection locked="0"/>
    </xf>
    <xf numFmtId="0" fontId="10" fillId="0" borderId="35"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5" xfId="0" applyFont="1" applyFill="1" applyBorder="1" applyAlignment="1" applyProtection="1">
      <alignment horizontal="left" vertical="top" wrapText="1"/>
      <protection locked="0"/>
    </xf>
    <xf numFmtId="0" fontId="10" fillId="0" borderId="54" xfId="0" applyFon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stackoverflow.com/questions/7478023/how-to-set-background-color-in-the-xml-layout" TargetMode="External"/><Relationship Id="rId13" Type="http://schemas.openxmlformats.org/officeDocument/2006/relationships/hyperlink" Target="https://material.io/guidelines/style/color.html" TargetMode="External"/><Relationship Id="rId18" Type="http://schemas.openxmlformats.org/officeDocument/2006/relationships/drawing" Target="../drawings/drawing4.xml"/><Relationship Id="rId3" Type="http://schemas.openxmlformats.org/officeDocument/2006/relationships/hyperlink" Target="https://www.youtube.com/watch?v=TCJFoExOBUE" TargetMode="External"/><Relationship Id="rId21" Type="http://schemas.openxmlformats.org/officeDocument/2006/relationships/image" Target="../media/image6.emf"/><Relationship Id="rId7" Type="http://schemas.openxmlformats.org/officeDocument/2006/relationships/hyperlink" Target="https://www.youtube.com/watch?v=MJ_32Tuuu74" TargetMode="External"/><Relationship Id="rId12" Type="http://schemas.openxmlformats.org/officeDocument/2006/relationships/hyperlink" Target="https://developer.android.com/reference/android/widget/GridLayout.html" TargetMode="External"/><Relationship Id="rId17" Type="http://schemas.openxmlformats.org/officeDocument/2006/relationships/printerSettings" Target="../printerSettings/printerSettings4.bin"/><Relationship Id="rId2" Type="http://schemas.openxmlformats.org/officeDocument/2006/relationships/hyperlink" Target="https://github.com/Wayne121/AGS-GPT-DemoMot/" TargetMode="External"/><Relationship Id="rId16" Type="http://schemas.openxmlformats.org/officeDocument/2006/relationships/hyperlink" Target="http://jmdoudoux.developpez.com/cours/developpons/java/" TargetMode="External"/><Relationship Id="rId20" Type="http://schemas.openxmlformats.org/officeDocument/2006/relationships/control" Target="../activeX/activeX6.xml"/><Relationship Id="rId1" Type="http://schemas.openxmlformats.org/officeDocument/2006/relationships/hyperlink" Target="DemoMot-ags-gpt-ApplicationAndroidJava.docx" TargetMode="External"/><Relationship Id="rId6" Type="http://schemas.openxmlformats.org/officeDocument/2006/relationships/hyperlink" Target="AppTest1.png" TargetMode="External"/><Relationship Id="rId11" Type="http://schemas.openxmlformats.org/officeDocument/2006/relationships/hyperlink" Target="https://stackoverflow.com/questions/7444703/how-to-set-androidlayout-column-programmatically" TargetMode="External"/><Relationship Id="rId5" Type="http://schemas.openxmlformats.org/officeDocument/2006/relationships/hyperlink" Target="celtofah.png" TargetMode="External"/><Relationship Id="rId15" Type="http://schemas.openxmlformats.org/officeDocument/2006/relationships/hyperlink" Target="https://www.developpez.net/forums/d1709031/java/general-java/java-mobiles/android/probleme-variable-identifier-expected/" TargetMode="External"/><Relationship Id="rId10" Type="http://schemas.openxmlformats.org/officeDocument/2006/relationships/hyperlink" Target="https://danielme.com/tip-android-29-layouts-dinamicos-anadir-vistas-programaticamente/" TargetMode="External"/><Relationship Id="rId19" Type="http://schemas.openxmlformats.org/officeDocument/2006/relationships/vmlDrawing" Target="../drawings/vmlDrawing4.vml"/><Relationship Id="rId4" Type="http://schemas.openxmlformats.org/officeDocument/2006/relationships/hyperlink" Target="http://www.programcreek.com/java-api-examples/android.view.View.OnKeyListener" TargetMode="External"/><Relationship Id="rId9" Type="http://schemas.openxmlformats.org/officeDocument/2006/relationships/hyperlink" Target="https://stackoverflow.com/questions/15082432/how-to-create-button-dynamically-in-android" TargetMode="External"/><Relationship Id="rId14" Type="http://schemas.openxmlformats.org/officeDocument/2006/relationships/hyperlink" Target="https://material.io/color/"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C1" zoomScaleNormal="100" workbookViewId="0">
      <selection activeCell="C36" sqref="C36"/>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45" t="s">
        <v>19</v>
      </c>
      <c r="C19" s="146"/>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54</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8"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7" t="s">
        <v>37</v>
      </c>
      <c r="D31" s="37"/>
      <c r="E31" s="37"/>
      <c r="F31" s="37"/>
      <c r="G31" s="34"/>
      <c r="H31" s="1"/>
      <c r="I31" s="1"/>
      <c r="J31" s="1"/>
      <c r="K31" s="1"/>
      <c r="L31" s="1"/>
      <c r="M31" s="1"/>
    </row>
    <row r="32" spans="1:13" ht="19.5" x14ac:dyDescent="0.2">
      <c r="A32" s="52"/>
      <c r="B32" s="67">
        <v>12</v>
      </c>
      <c r="C32" s="27" t="s">
        <v>45</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8" t="s">
        <v>27</v>
      </c>
      <c r="D34" s="37"/>
      <c r="E34" s="37"/>
      <c r="F34" s="37"/>
      <c r="G34" s="34"/>
      <c r="H34" s="1"/>
      <c r="I34" s="1"/>
      <c r="J34" s="1"/>
      <c r="K34" s="1"/>
      <c r="L34" s="1"/>
      <c r="M34" s="1"/>
    </row>
    <row r="35" spans="1:13" ht="19.5" x14ac:dyDescent="0.2">
      <c r="A35" s="52"/>
      <c r="B35" s="67">
        <v>15</v>
      </c>
      <c r="C35" s="28" t="s">
        <v>38</v>
      </c>
      <c r="D35" s="37"/>
      <c r="E35" s="37"/>
      <c r="F35" s="37"/>
      <c r="G35" s="34"/>
      <c r="H35" s="1"/>
      <c r="I35" s="1"/>
      <c r="J35" s="1"/>
      <c r="K35" s="1"/>
      <c r="L35" s="1"/>
      <c r="M35" s="1"/>
    </row>
    <row r="36" spans="1:13" ht="19.5" x14ac:dyDescent="0.2">
      <c r="A36" s="52"/>
      <c r="B36" s="66">
        <v>16</v>
      </c>
      <c r="C36" s="28" t="s">
        <v>96</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9525</xdr:colOff>
                <xdr:row>8</xdr:row>
                <xdr:rowOff>190500</xdr:rowOff>
              </from>
              <to>
                <xdr:col>6</xdr:col>
                <xdr:colOff>133350</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9525</xdr:colOff>
                <xdr:row>5</xdr:row>
                <xdr:rowOff>9525</xdr:rowOff>
              </from>
              <to>
                <xdr:col>6</xdr:col>
                <xdr:colOff>114300</xdr:colOff>
                <xdr:row>7</xdr:row>
                <xdr:rowOff>66675</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8"/>
  <sheetViews>
    <sheetView view="pageBreakPreview" topLeftCell="CB1" zoomScale="60" zoomScaleNormal="100" workbookViewId="0">
      <selection activeCell="B1" sqref="B1"/>
    </sheetView>
  </sheetViews>
  <sheetFormatPr baseColWidth="10" defaultColWidth="1.5703125" defaultRowHeight="19.5" customHeight="1" x14ac:dyDescent="0.2"/>
  <cols>
    <col min="1" max="1" width="17.855468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47" t="s">
        <v>41</v>
      </c>
      <c r="E2" s="148"/>
      <c r="F2" s="148"/>
      <c r="G2" s="148"/>
      <c r="H2" s="148"/>
      <c r="I2" s="148"/>
      <c r="J2" s="148"/>
      <c r="K2" s="148"/>
      <c r="L2" s="148"/>
      <c r="M2" s="148"/>
      <c r="N2" s="148"/>
      <c r="O2" s="148"/>
      <c r="P2" s="148"/>
      <c r="Q2" s="148"/>
      <c r="R2" s="148"/>
      <c r="S2" s="148"/>
      <c r="T2" s="148"/>
      <c r="U2" s="148"/>
      <c r="V2" s="148"/>
      <c r="W2" s="148"/>
      <c r="X2" s="148"/>
      <c r="Y2" s="148"/>
      <c r="Z2" s="148"/>
      <c r="AA2" s="148"/>
      <c r="AB2" s="148"/>
      <c r="AC2" s="148"/>
      <c r="AD2" s="148"/>
      <c r="AE2" s="148"/>
      <c r="AF2" s="148"/>
      <c r="AG2" s="148"/>
      <c r="AH2" s="148"/>
      <c r="AI2" s="148"/>
      <c r="AJ2" s="148"/>
      <c r="AK2" s="148"/>
      <c r="AL2" s="148"/>
      <c r="AM2" s="148"/>
      <c r="AN2" s="148"/>
      <c r="AO2" s="148"/>
      <c r="AP2" s="148"/>
      <c r="AQ2" s="148"/>
      <c r="AR2" s="148"/>
      <c r="AS2" s="148"/>
      <c r="AT2" s="148"/>
      <c r="AU2" s="148"/>
      <c r="AV2" s="148"/>
      <c r="AW2" s="148"/>
      <c r="AX2" s="148"/>
      <c r="AY2" s="148"/>
      <c r="AZ2" s="148"/>
      <c r="BA2" s="148"/>
      <c r="BB2" s="148"/>
      <c r="BC2" s="148"/>
      <c r="BD2" s="148"/>
      <c r="BE2" s="148"/>
      <c r="BF2" s="148"/>
      <c r="BG2" s="148"/>
      <c r="BH2" s="148"/>
      <c r="BI2" s="148"/>
      <c r="BJ2" s="148"/>
      <c r="BK2" s="148"/>
      <c r="BL2" s="148"/>
      <c r="BM2" s="148"/>
      <c r="BN2" s="148"/>
      <c r="BO2" s="148"/>
      <c r="BP2" s="148"/>
      <c r="BQ2" s="148"/>
      <c r="BR2" s="148"/>
      <c r="BS2" s="148"/>
      <c r="BT2" s="148"/>
      <c r="BU2" s="148"/>
      <c r="BV2" s="148"/>
      <c r="BW2" s="148"/>
      <c r="BX2" s="148"/>
      <c r="BY2" s="148"/>
      <c r="BZ2" s="148"/>
      <c r="CA2" s="148"/>
      <c r="CB2" s="148"/>
      <c r="CC2" s="148"/>
      <c r="CD2" s="148"/>
      <c r="CE2" s="148"/>
      <c r="CF2" s="148"/>
      <c r="CG2" s="148"/>
      <c r="CH2" s="148"/>
      <c r="CI2" s="148"/>
      <c r="CJ2" s="148"/>
      <c r="CK2" s="148"/>
      <c r="CL2" s="148"/>
      <c r="CM2" s="148"/>
      <c r="CN2" s="148"/>
      <c r="CO2" s="149"/>
      <c r="CP2" s="147" t="s">
        <v>42</v>
      </c>
      <c r="CQ2" s="148"/>
      <c r="CR2" s="148"/>
      <c r="CS2" s="148"/>
      <c r="CT2" s="148"/>
      <c r="CU2" s="148"/>
      <c r="CV2" s="148"/>
      <c r="CW2" s="148"/>
      <c r="CX2" s="148"/>
      <c r="CY2" s="148"/>
      <c r="CZ2" s="148"/>
      <c r="DA2" s="148"/>
      <c r="DB2" s="148"/>
      <c r="DC2" s="148"/>
      <c r="DD2" s="148"/>
      <c r="DE2" s="148"/>
      <c r="DF2" s="148"/>
      <c r="DG2" s="148"/>
      <c r="DH2" s="148"/>
      <c r="DI2" s="148"/>
      <c r="DJ2" s="148"/>
      <c r="DK2" s="148"/>
      <c r="DL2" s="148"/>
      <c r="DM2" s="148"/>
      <c r="DN2" s="148"/>
      <c r="DO2" s="148"/>
      <c r="DP2" s="148"/>
      <c r="DQ2" s="148"/>
      <c r="DR2" s="148"/>
      <c r="DS2" s="148"/>
      <c r="DT2" s="148"/>
      <c r="DU2" s="148"/>
      <c r="DV2" s="148"/>
      <c r="DW2" s="148"/>
      <c r="DX2" s="148"/>
      <c r="DY2" s="148"/>
      <c r="DZ2" s="148"/>
      <c r="EA2" s="148"/>
      <c r="EB2" s="148"/>
      <c r="EC2" s="148"/>
      <c r="ED2" s="148"/>
      <c r="EE2" s="148"/>
      <c r="EF2" s="148"/>
      <c r="EG2" s="148"/>
      <c r="EH2" s="148"/>
      <c r="EI2" s="148"/>
      <c r="EJ2" s="148"/>
      <c r="EK2" s="148"/>
      <c r="EL2" s="148"/>
      <c r="EM2" s="148"/>
      <c r="EN2" s="148"/>
      <c r="EO2" s="148"/>
      <c r="EP2" s="148"/>
      <c r="EQ2" s="148"/>
      <c r="ER2" s="148"/>
      <c r="ES2" s="148"/>
      <c r="ET2" s="148"/>
      <c r="EU2" s="148"/>
      <c r="EV2" s="148"/>
      <c r="EW2" s="148"/>
      <c r="EX2" s="148"/>
      <c r="EY2" s="148"/>
      <c r="EZ2" s="148"/>
      <c r="FA2" s="148"/>
      <c r="FB2" s="148"/>
      <c r="FC2" s="148"/>
      <c r="FD2" s="148"/>
      <c r="FE2" s="148"/>
      <c r="FF2" s="148"/>
      <c r="FG2" s="148"/>
      <c r="FH2" s="148"/>
      <c r="FI2" s="148"/>
      <c r="FJ2" s="148"/>
      <c r="FK2" s="148"/>
      <c r="FL2" s="148"/>
      <c r="FM2" s="148"/>
      <c r="FN2" s="148"/>
      <c r="FO2" s="148"/>
      <c r="FP2" s="148"/>
      <c r="FQ2" s="148"/>
      <c r="FR2" s="148"/>
      <c r="FS2" s="148"/>
      <c r="FT2" s="148"/>
      <c r="FU2" s="148"/>
      <c r="FV2" s="148"/>
      <c r="FW2" s="148"/>
      <c r="FX2" s="148"/>
      <c r="FY2" s="148"/>
      <c r="FZ2" s="148"/>
      <c r="GA2" s="149"/>
      <c r="GB2" s="147" t="s">
        <v>43</v>
      </c>
      <c r="GC2" s="148"/>
      <c r="GD2" s="148"/>
      <c r="GE2" s="148"/>
      <c r="GF2" s="148"/>
      <c r="GG2" s="148"/>
      <c r="GH2" s="148"/>
      <c r="GI2" s="148"/>
      <c r="GJ2" s="148"/>
      <c r="GK2" s="148"/>
      <c r="GL2" s="148"/>
      <c r="GM2" s="148"/>
      <c r="GN2" s="148"/>
      <c r="GO2" s="148"/>
      <c r="GP2" s="148"/>
      <c r="GQ2" s="148"/>
      <c r="GR2" s="148"/>
      <c r="GS2" s="148"/>
      <c r="GT2" s="148"/>
      <c r="GU2" s="148"/>
      <c r="GV2" s="148"/>
      <c r="GW2" s="148"/>
      <c r="GX2" s="148"/>
      <c r="GY2" s="148"/>
      <c r="GZ2" s="148"/>
      <c r="HA2" s="148"/>
      <c r="HB2" s="148"/>
      <c r="HC2" s="148"/>
      <c r="HD2" s="148"/>
      <c r="HE2" s="148"/>
      <c r="HF2" s="148"/>
      <c r="HG2" s="148"/>
      <c r="HH2" s="148"/>
      <c r="HI2" s="148"/>
      <c r="HJ2" s="148"/>
      <c r="HK2" s="148"/>
      <c r="HL2" s="148"/>
      <c r="HM2" s="148"/>
      <c r="HN2" s="148"/>
      <c r="HO2" s="148"/>
      <c r="HP2" s="148"/>
      <c r="HQ2" s="148"/>
      <c r="HR2" s="148"/>
      <c r="HS2" s="148"/>
      <c r="HT2" s="148"/>
      <c r="HU2" s="148"/>
      <c r="HV2" s="148"/>
      <c r="HW2" s="148"/>
      <c r="HX2" s="148"/>
      <c r="HY2" s="148"/>
      <c r="HZ2" s="148"/>
      <c r="IA2" s="148"/>
      <c r="IB2" s="148"/>
      <c r="IC2" s="148"/>
      <c r="ID2" s="148"/>
      <c r="IE2" s="148"/>
      <c r="IF2" s="148"/>
      <c r="IG2" s="148"/>
      <c r="IH2" s="148"/>
      <c r="II2" s="148"/>
      <c r="IJ2" s="148"/>
      <c r="IK2" s="148"/>
      <c r="IL2" s="148"/>
      <c r="IM2" s="148"/>
      <c r="IN2" s="148"/>
      <c r="IO2" s="148"/>
      <c r="IP2" s="148"/>
      <c r="IQ2" s="148"/>
      <c r="IR2" s="148"/>
      <c r="IS2" s="148"/>
      <c r="IT2" s="148"/>
      <c r="IU2" s="148"/>
      <c r="IV2" s="148"/>
      <c r="IW2" s="148"/>
      <c r="IX2" s="148"/>
      <c r="IY2" s="148"/>
      <c r="IZ2" s="148"/>
      <c r="JA2" s="148"/>
      <c r="JB2" s="148"/>
      <c r="JC2" s="148"/>
      <c r="JD2" s="148"/>
      <c r="JE2" s="148"/>
      <c r="JF2" s="148"/>
      <c r="JG2" s="148"/>
      <c r="JH2" s="148"/>
      <c r="JI2" s="148"/>
      <c r="JJ2" s="148"/>
      <c r="JK2" s="148"/>
      <c r="JL2" s="148"/>
      <c r="JM2" s="149"/>
      <c r="JN2" s="147" t="s">
        <v>44</v>
      </c>
      <c r="JO2" s="148"/>
      <c r="JP2" s="148"/>
      <c r="JQ2" s="148"/>
      <c r="JR2" s="148"/>
      <c r="JS2" s="148"/>
      <c r="JT2" s="148"/>
      <c r="JU2" s="148"/>
      <c r="JV2" s="148"/>
      <c r="JW2" s="148"/>
      <c r="JX2" s="148"/>
      <c r="JY2" s="148"/>
      <c r="JZ2" s="148"/>
      <c r="KA2" s="148"/>
      <c r="KB2" s="148"/>
      <c r="KC2" s="148"/>
      <c r="KD2" s="148"/>
      <c r="KE2" s="148"/>
      <c r="KF2" s="148"/>
      <c r="KG2" s="148"/>
      <c r="KH2" s="148"/>
      <c r="KI2" s="148"/>
      <c r="KJ2" s="148"/>
      <c r="KK2" s="148"/>
      <c r="KL2" s="148"/>
      <c r="KM2" s="148"/>
      <c r="KN2" s="148"/>
      <c r="KO2" s="148"/>
      <c r="KP2" s="148"/>
      <c r="KQ2" s="148"/>
      <c r="KR2" s="148"/>
      <c r="KS2" s="148"/>
      <c r="KT2" s="148"/>
      <c r="KU2" s="148"/>
      <c r="KV2" s="148"/>
      <c r="KW2" s="148"/>
      <c r="KX2" s="148"/>
      <c r="KY2" s="148"/>
      <c r="KZ2" s="148"/>
      <c r="LA2" s="148"/>
      <c r="LB2" s="148"/>
      <c r="LC2" s="148"/>
      <c r="LD2" s="148"/>
      <c r="LE2" s="148"/>
      <c r="LF2" s="148"/>
      <c r="LG2" s="148"/>
      <c r="LH2" s="148"/>
      <c r="LI2" s="148"/>
      <c r="LJ2" s="148"/>
      <c r="LK2" s="148"/>
      <c r="LL2" s="148"/>
      <c r="LM2" s="148"/>
      <c r="LN2" s="148"/>
      <c r="LO2" s="148"/>
      <c r="LP2" s="148"/>
      <c r="LQ2" s="148"/>
      <c r="LR2" s="148"/>
      <c r="LS2" s="148"/>
      <c r="LT2" s="148"/>
      <c r="LU2" s="148"/>
      <c r="LV2" s="148"/>
      <c r="LW2" s="148"/>
      <c r="LX2" s="148"/>
      <c r="LY2" s="148"/>
      <c r="LZ2" s="148"/>
      <c r="MA2" s="148"/>
      <c r="MB2" s="148"/>
      <c r="MC2" s="148"/>
      <c r="MD2" s="148"/>
      <c r="ME2" s="148"/>
      <c r="MF2" s="148"/>
      <c r="MG2" s="148"/>
      <c r="MH2" s="148"/>
      <c r="MI2" s="148"/>
      <c r="MJ2" s="148"/>
      <c r="MK2" s="148"/>
      <c r="ML2" s="148"/>
      <c r="MM2" s="148"/>
      <c r="MN2" s="148"/>
      <c r="MO2" s="148"/>
      <c r="MP2" s="148"/>
      <c r="MQ2" s="148"/>
      <c r="MR2" s="148"/>
      <c r="MS2" s="148"/>
      <c r="MT2" s="148"/>
      <c r="MU2" s="148"/>
      <c r="MV2" s="148"/>
      <c r="MW2" s="148"/>
      <c r="MX2" s="148"/>
      <c r="MY2" s="149"/>
    </row>
    <row r="3" spans="1:363" ht="19.5" customHeight="1" x14ac:dyDescent="0.2">
      <c r="A3" s="88"/>
      <c r="B3" s="152" t="s">
        <v>21</v>
      </c>
      <c r="C3" s="30">
        <v>0</v>
      </c>
      <c r="D3" s="89"/>
      <c r="E3" s="90"/>
      <c r="F3" s="91"/>
      <c r="G3" s="92"/>
      <c r="H3" s="90"/>
      <c r="I3" s="91"/>
      <c r="J3" s="92"/>
      <c r="K3" s="90"/>
      <c r="L3" s="91"/>
      <c r="M3" s="92"/>
      <c r="N3" s="90"/>
      <c r="O3" s="91"/>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89"/>
      <c r="CQ3" s="90"/>
      <c r="CR3" s="91"/>
      <c r="CS3" s="92"/>
      <c r="CT3" s="90"/>
      <c r="CU3" s="91"/>
      <c r="CV3" s="92"/>
      <c r="CW3" s="90"/>
      <c r="CX3" s="91"/>
      <c r="CY3" s="92"/>
      <c r="CZ3" s="90"/>
      <c r="DA3" s="91"/>
      <c r="DB3" s="92"/>
      <c r="DC3" s="90"/>
      <c r="DD3" s="91"/>
      <c r="DE3" s="92"/>
      <c r="DF3" s="90"/>
      <c r="DG3" s="91"/>
      <c r="DH3" s="92"/>
      <c r="DI3" s="90"/>
      <c r="DJ3" s="91"/>
      <c r="DK3" s="92"/>
      <c r="DL3" s="90"/>
      <c r="DM3" s="91"/>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92"/>
      <c r="GO3" s="90"/>
      <c r="GP3" s="91"/>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92"/>
      <c r="KA3" s="90"/>
      <c r="KB3" s="91"/>
      <c r="KC3" s="92"/>
      <c r="KD3" s="90"/>
      <c r="KE3" s="91"/>
      <c r="KF3" s="92"/>
      <c r="KG3" s="90"/>
      <c r="KH3" s="91"/>
      <c r="KI3" s="92"/>
      <c r="KJ3" s="90"/>
      <c r="KK3" s="91"/>
      <c r="KL3" s="92"/>
      <c r="KM3" s="90"/>
      <c r="KN3" s="91"/>
      <c r="KO3" s="92"/>
      <c r="KP3" s="90"/>
      <c r="KQ3" s="91"/>
      <c r="KR3" s="92"/>
      <c r="KS3" s="90"/>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3"/>
    </row>
    <row r="4" spans="1:363" ht="19.5" customHeight="1" thickBot="1" x14ac:dyDescent="0.25">
      <c r="A4" s="88"/>
      <c r="B4" s="153"/>
      <c r="C4" s="44">
        <v>37</v>
      </c>
      <c r="D4" s="94"/>
      <c r="E4" s="95"/>
      <c r="F4" s="96"/>
      <c r="G4" s="97"/>
      <c r="H4" s="95"/>
      <c r="I4" s="96"/>
      <c r="J4" s="97"/>
      <c r="K4" s="95"/>
      <c r="L4" s="96"/>
      <c r="M4" s="97"/>
      <c r="N4" s="95"/>
      <c r="O4" s="96"/>
      <c r="P4" s="159"/>
      <c r="Q4" s="157"/>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159"/>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156"/>
      <c r="CQ4" s="157"/>
      <c r="CR4" s="158"/>
      <c r="CS4" s="159"/>
      <c r="CT4" s="157"/>
      <c r="CU4" s="158"/>
      <c r="CV4" s="159"/>
      <c r="CW4" s="157"/>
      <c r="CX4" s="158"/>
      <c r="CY4" s="159"/>
      <c r="CZ4" s="157"/>
      <c r="DA4" s="158"/>
      <c r="DB4" s="159"/>
      <c r="DC4" s="157"/>
      <c r="DD4" s="158"/>
      <c r="DE4" s="159"/>
      <c r="DF4" s="157"/>
      <c r="DG4" s="158"/>
      <c r="DH4" s="159"/>
      <c r="DI4" s="157"/>
      <c r="DJ4" s="158"/>
      <c r="DK4" s="159"/>
      <c r="DL4" s="157"/>
      <c r="DM4" s="158"/>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159"/>
      <c r="GI4" s="157"/>
      <c r="GJ4" s="158"/>
      <c r="GK4" s="159"/>
      <c r="GL4" s="157"/>
      <c r="GM4" s="158"/>
      <c r="GN4" s="97"/>
      <c r="GO4" s="95"/>
      <c r="GP4" s="96"/>
      <c r="GQ4" s="97"/>
      <c r="GR4" s="95"/>
      <c r="GS4" s="96"/>
      <c r="GT4" s="97"/>
      <c r="GU4" s="95"/>
      <c r="GV4" s="96"/>
      <c r="GW4" s="159"/>
      <c r="GX4" s="157"/>
      <c r="GY4" s="158"/>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158"/>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54" t="str">
        <f>Donnees!$C$21</f>
        <v>Découverte du programme</v>
      </c>
      <c r="C5" s="99">
        <v>0</v>
      </c>
      <c r="D5" s="89"/>
      <c r="E5" s="90"/>
      <c r="F5" s="91"/>
      <c r="G5" s="92"/>
      <c r="H5" s="90"/>
      <c r="I5" s="91"/>
      <c r="J5" s="92"/>
      <c r="K5" s="90"/>
      <c r="L5" s="91"/>
      <c r="M5" s="92"/>
      <c r="N5" s="90"/>
      <c r="O5" s="91"/>
      <c r="P5" s="92"/>
      <c r="Q5" s="90"/>
      <c r="R5" s="91"/>
      <c r="S5" s="92"/>
      <c r="T5" s="90"/>
      <c r="U5" s="91"/>
      <c r="V5" s="92"/>
      <c r="W5" s="90"/>
      <c r="X5" s="91"/>
      <c r="Y5" s="92"/>
      <c r="Z5" s="90"/>
      <c r="AA5" s="91"/>
      <c r="AB5" s="92"/>
      <c r="AC5" s="90"/>
      <c r="AD5" s="91"/>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51"/>
      <c r="C6" s="100">
        <v>31</v>
      </c>
      <c r="D6" s="94"/>
      <c r="E6" s="95"/>
      <c r="F6" s="96"/>
      <c r="G6" s="97"/>
      <c r="H6" s="95"/>
      <c r="I6" s="96"/>
      <c r="J6" s="97"/>
      <c r="K6" s="95"/>
      <c r="L6" s="96"/>
      <c r="M6" s="97"/>
      <c r="N6" s="95"/>
      <c r="O6" s="96"/>
      <c r="P6" s="97"/>
      <c r="Q6" s="95"/>
      <c r="R6" s="96"/>
      <c r="S6" s="97"/>
      <c r="T6" s="95"/>
      <c r="U6" s="96"/>
      <c r="V6" s="159"/>
      <c r="W6" s="157"/>
      <c r="X6" s="96"/>
      <c r="Y6" s="97"/>
      <c r="Z6" s="95"/>
      <c r="AA6" s="96"/>
      <c r="AB6" s="159"/>
      <c r="AC6" s="157"/>
      <c r="AD6" s="158"/>
      <c r="AE6" s="159"/>
      <c r="AF6" s="157"/>
      <c r="AG6" s="158"/>
      <c r="AH6" s="159"/>
      <c r="AI6" s="95"/>
      <c r="AJ6" s="96"/>
      <c r="AK6" s="159"/>
      <c r="AL6" s="157"/>
      <c r="AM6" s="96"/>
      <c r="AN6" s="159"/>
      <c r="AO6" s="157"/>
      <c r="AP6" s="158"/>
      <c r="AQ6" s="159"/>
      <c r="AR6" s="157"/>
      <c r="AS6" s="158"/>
      <c r="AT6" s="159"/>
      <c r="AU6" s="157"/>
      <c r="AV6" s="158"/>
      <c r="AW6" s="159"/>
      <c r="AX6" s="157"/>
      <c r="AY6" s="96"/>
      <c r="AZ6" s="97"/>
      <c r="BA6" s="95"/>
      <c r="BB6" s="96"/>
      <c r="BC6" s="159"/>
      <c r="BD6" s="157"/>
      <c r="BE6" s="158"/>
      <c r="BF6" s="159"/>
      <c r="BG6" s="157"/>
      <c r="BH6" s="158"/>
      <c r="BI6" s="159"/>
      <c r="BJ6" s="95"/>
      <c r="BK6" s="96"/>
      <c r="BL6" s="97"/>
      <c r="BM6" s="95"/>
      <c r="BN6" s="96"/>
      <c r="BO6" s="97"/>
      <c r="BP6" s="95"/>
      <c r="BQ6" s="96"/>
      <c r="BR6" s="97"/>
      <c r="BS6" s="95"/>
      <c r="BT6" s="96"/>
      <c r="BU6" s="97"/>
      <c r="BV6" s="95"/>
      <c r="BW6" s="96"/>
      <c r="BX6" s="97"/>
      <c r="BY6" s="95"/>
      <c r="BZ6" s="96"/>
      <c r="CA6" s="159"/>
      <c r="CB6" s="157"/>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50" t="str">
        <f>Donnees!$C$22</f>
        <v>Recherche</v>
      </c>
      <c r="C7" s="99">
        <v>0</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51"/>
      <c r="C8" s="100">
        <v>27</v>
      </c>
      <c r="D8" s="94"/>
      <c r="E8" s="95"/>
      <c r="F8" s="96"/>
      <c r="G8" s="97"/>
      <c r="H8" s="95"/>
      <c r="I8" s="96"/>
      <c r="J8" s="97"/>
      <c r="K8" s="95"/>
      <c r="L8" s="96"/>
      <c r="M8" s="97"/>
      <c r="N8" s="95"/>
      <c r="O8" s="96"/>
      <c r="P8" s="97"/>
      <c r="Q8" s="95"/>
      <c r="R8" s="158"/>
      <c r="S8" s="159"/>
      <c r="T8" s="157"/>
      <c r="U8" s="158"/>
      <c r="V8" s="97"/>
      <c r="W8" s="95"/>
      <c r="X8" s="158"/>
      <c r="Y8" s="159"/>
      <c r="Z8" s="95"/>
      <c r="AA8" s="96"/>
      <c r="AB8" s="97"/>
      <c r="AC8" s="95"/>
      <c r="AD8" s="96"/>
      <c r="AE8" s="97"/>
      <c r="AF8" s="95"/>
      <c r="AG8" s="96"/>
      <c r="AH8" s="97"/>
      <c r="AI8" s="157"/>
      <c r="AJ8" s="158"/>
      <c r="AK8" s="97"/>
      <c r="AL8" s="95"/>
      <c r="AM8" s="96"/>
      <c r="AN8" s="97"/>
      <c r="AO8" s="95"/>
      <c r="AP8" s="96"/>
      <c r="AQ8" s="97"/>
      <c r="AR8" s="95"/>
      <c r="AS8" s="96"/>
      <c r="AT8" s="97"/>
      <c r="AU8" s="95"/>
      <c r="AV8" s="96"/>
      <c r="AW8" s="97"/>
      <c r="AX8" s="95"/>
      <c r="AY8" s="158"/>
      <c r="AZ8" s="159"/>
      <c r="BA8" s="157"/>
      <c r="BB8" s="96"/>
      <c r="BC8" s="97"/>
      <c r="BD8" s="95"/>
      <c r="BE8" s="96"/>
      <c r="BF8" s="97"/>
      <c r="BG8" s="95"/>
      <c r="BH8" s="96"/>
      <c r="BI8" s="97"/>
      <c r="BJ8" s="95"/>
      <c r="BK8" s="96"/>
      <c r="BL8" s="97"/>
      <c r="BM8" s="95"/>
      <c r="BN8" s="96"/>
      <c r="BO8" s="97"/>
      <c r="BP8" s="157"/>
      <c r="BQ8" s="158"/>
      <c r="BR8" s="159"/>
      <c r="BS8" s="157"/>
      <c r="BT8" s="158"/>
      <c r="BU8" s="159"/>
      <c r="BV8" s="157"/>
      <c r="BW8" s="158"/>
      <c r="BX8" s="159"/>
      <c r="BY8" s="157"/>
      <c r="BZ8" s="158"/>
      <c r="CA8" s="97"/>
      <c r="CB8" s="95"/>
      <c r="CC8" s="96"/>
      <c r="CD8" s="159"/>
      <c r="CE8" s="157"/>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157"/>
      <c r="II8" s="158"/>
      <c r="IJ8" s="159"/>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50" t="str">
        <f>Donnees!$C$23</f>
        <v>Création de l'application</v>
      </c>
      <c r="C9" s="99">
        <v>0</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51"/>
      <c r="C10" s="100">
        <v>42</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158"/>
      <c r="CG10" s="159"/>
      <c r="CH10" s="157"/>
      <c r="CI10" s="158"/>
      <c r="CJ10" s="159"/>
      <c r="CK10" s="157"/>
      <c r="CL10" s="158"/>
      <c r="CM10" s="159"/>
      <c r="CN10" s="157"/>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159"/>
      <c r="DO10" s="157"/>
      <c r="DP10" s="158"/>
      <c r="DQ10" s="159"/>
      <c r="DR10" s="157"/>
      <c r="DS10" s="158"/>
      <c r="DT10" s="159"/>
      <c r="DU10" s="157"/>
      <c r="DV10" s="158"/>
      <c r="DW10" s="159"/>
      <c r="DX10" s="157"/>
      <c r="DY10" s="96"/>
      <c r="DZ10" s="159"/>
      <c r="EA10" s="157"/>
      <c r="EB10" s="158"/>
      <c r="EC10" s="159"/>
      <c r="ED10" s="157"/>
      <c r="EE10" s="158"/>
      <c r="EF10" s="159"/>
      <c r="EG10" s="157"/>
      <c r="EH10" s="158"/>
      <c r="EI10" s="159"/>
      <c r="EJ10" s="157"/>
      <c r="EK10" s="158"/>
      <c r="EL10" s="159"/>
      <c r="EM10" s="157"/>
      <c r="EN10" s="96"/>
      <c r="EO10" s="159"/>
      <c r="EP10" s="157"/>
      <c r="EQ10" s="158"/>
      <c r="ER10" s="159"/>
      <c r="ES10" s="157"/>
      <c r="ET10" s="158"/>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159"/>
      <c r="HJ10" s="157"/>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50" t="str">
        <f>Donnees!$C$24</f>
        <v>Création des options</v>
      </c>
      <c r="C11" s="99">
        <v>0</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51"/>
      <c r="C12" s="100">
        <v>48</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159"/>
      <c r="EV12" s="157"/>
      <c r="EW12" s="158"/>
      <c r="EX12" s="159"/>
      <c r="EY12" s="157"/>
      <c r="EZ12" s="96"/>
      <c r="FA12" s="159"/>
      <c r="FB12" s="157"/>
      <c r="FC12" s="158"/>
      <c r="FD12" s="159"/>
      <c r="FE12" s="157"/>
      <c r="FF12" s="158"/>
      <c r="FG12" s="159"/>
      <c r="FH12" s="157"/>
      <c r="FI12" s="158"/>
      <c r="FJ12" s="159"/>
      <c r="FK12" s="157"/>
      <c r="FL12" s="158"/>
      <c r="FM12" s="159"/>
      <c r="FN12" s="157"/>
      <c r="FO12" s="96"/>
      <c r="FP12" s="97"/>
      <c r="FQ12" s="95"/>
      <c r="FR12" s="96"/>
      <c r="FS12" s="97"/>
      <c r="FT12" s="157"/>
      <c r="FU12" s="158"/>
      <c r="FV12" s="159"/>
      <c r="FW12" s="157"/>
      <c r="FX12" s="158"/>
      <c r="FY12" s="159"/>
      <c r="FZ12" s="157"/>
      <c r="GA12" s="98"/>
      <c r="GB12" s="156"/>
      <c r="GC12" s="157"/>
      <c r="GD12" s="158"/>
      <c r="GE12" s="159"/>
      <c r="GF12" s="157"/>
      <c r="GG12" s="158"/>
      <c r="GH12" s="97"/>
      <c r="GI12" s="95"/>
      <c r="GJ12" s="96"/>
      <c r="GK12" s="97"/>
      <c r="GL12" s="95"/>
      <c r="GM12" s="96"/>
      <c r="GN12" s="97"/>
      <c r="GO12" s="95"/>
      <c r="GP12" s="158"/>
      <c r="GQ12" s="159"/>
      <c r="GR12" s="157"/>
      <c r="GS12" s="158"/>
      <c r="GT12" s="159"/>
      <c r="GU12" s="157"/>
      <c r="GV12" s="158"/>
      <c r="GW12" s="97"/>
      <c r="GX12" s="95"/>
      <c r="GY12" s="96"/>
      <c r="GZ12" s="159"/>
      <c r="HA12" s="157"/>
      <c r="HB12" s="158"/>
      <c r="HC12" s="159"/>
      <c r="HD12" s="157"/>
      <c r="HE12" s="158"/>
      <c r="HF12" s="159"/>
      <c r="HG12" s="157"/>
      <c r="HH12" s="158"/>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50" t="str">
        <f>Donnees!$C$25</f>
        <v>Création grille de notes</v>
      </c>
      <c r="C13" s="99">
        <v>0</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51"/>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50" t="str">
        <f>Donnees!$C$26</f>
        <v>Création de grille adaptée</v>
      </c>
      <c r="C15" s="99">
        <v>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51"/>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50" t="str">
        <f>Donnees!$C$27</f>
        <v>Insertion Module, notes</v>
      </c>
      <c r="C17" s="99">
        <v>0</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92"/>
      <c r="FB17" s="90"/>
      <c r="FC17" s="91"/>
      <c r="FD17" s="92"/>
      <c r="FE17" s="90"/>
      <c r="FF17" s="91"/>
      <c r="FG17" s="92"/>
      <c r="FH17" s="90"/>
      <c r="FI17" s="91"/>
      <c r="FJ17" s="92"/>
      <c r="FK17" s="90"/>
      <c r="FL17" s="91"/>
      <c r="FM17" s="92"/>
      <c r="FN17" s="90"/>
      <c r="FO17" s="91"/>
      <c r="FP17" s="92"/>
      <c r="FQ17" s="90"/>
      <c r="FR17" s="91"/>
      <c r="FS17" s="92"/>
      <c r="FT17" s="90"/>
      <c r="FU17" s="91"/>
      <c r="FV17" s="92"/>
      <c r="FW17" s="90"/>
      <c r="FX17" s="91"/>
      <c r="FY17" s="92"/>
      <c r="FZ17" s="90"/>
      <c r="GA17" s="93"/>
      <c r="GB17" s="89"/>
      <c r="GC17" s="90"/>
      <c r="GD17" s="91"/>
      <c r="GE17" s="92"/>
      <c r="GF17" s="90"/>
      <c r="GG17" s="91"/>
      <c r="GH17" s="92"/>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89"/>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51"/>
      <c r="C18" s="100">
        <v>5</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158"/>
      <c r="JH18" s="159"/>
      <c r="JI18" s="157"/>
      <c r="JJ18" s="158"/>
      <c r="JK18" s="159"/>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50" t="str">
        <f>Donnees!$C$28</f>
        <v>Calcule automatique des moyennes</v>
      </c>
      <c r="C19" s="99">
        <v>0</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92"/>
      <c r="GR19" s="90"/>
      <c r="GS19" s="91"/>
      <c r="GT19" s="92"/>
      <c r="GU19" s="90"/>
      <c r="GV19" s="91"/>
      <c r="GW19" s="92"/>
      <c r="GX19" s="90"/>
      <c r="GY19" s="91"/>
      <c r="GZ19" s="92"/>
      <c r="HA19" s="90"/>
      <c r="HB19" s="91"/>
      <c r="HC19" s="92"/>
      <c r="HD19" s="90"/>
      <c r="HE19" s="91"/>
      <c r="HF19" s="92"/>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51"/>
      <c r="C20" s="100">
        <v>13</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159"/>
      <c r="IB20" s="157"/>
      <c r="IC20" s="158"/>
      <c r="ID20" s="159"/>
      <c r="IE20" s="157"/>
      <c r="IF20" s="158"/>
      <c r="IG20" s="159"/>
      <c r="IH20" s="95"/>
      <c r="II20" s="96"/>
      <c r="IJ20" s="97"/>
      <c r="IK20" s="95"/>
      <c r="IL20" s="96"/>
      <c r="IM20" s="159"/>
      <c r="IN20" s="157"/>
      <c r="IO20" s="158"/>
      <c r="IP20" s="159"/>
      <c r="IQ20" s="157"/>
      <c r="IR20" s="158"/>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50" t="str">
        <f>Donnees!$C$29</f>
        <v>Affichage des résultats</v>
      </c>
      <c r="C21" s="99">
        <v>0</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51"/>
      <c r="C22" s="100">
        <v>8</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157"/>
      <c r="IX22" s="158"/>
      <c r="IY22" s="159"/>
      <c r="IZ22" s="95"/>
      <c r="JA22" s="96"/>
      <c r="JB22" s="159"/>
      <c r="JC22" s="157"/>
      <c r="JD22" s="158"/>
      <c r="JE22" s="159"/>
      <c r="JF22" s="157"/>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50" t="str">
        <f>Donnees!$C$30</f>
        <v>SQLite</v>
      </c>
      <c r="C23" s="99">
        <v>0</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51"/>
      <c r="C24" s="100">
        <v>4</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159"/>
      <c r="IT24" s="157"/>
      <c r="IU24" s="158"/>
      <c r="IV24" s="159"/>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50" t="str">
        <f>Donnees!$C$31</f>
        <v>Préferences système</v>
      </c>
      <c r="C25" s="99">
        <v>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90"/>
      <c r="JJ25" s="91"/>
      <c r="JK25" s="92"/>
      <c r="JL25" s="90"/>
      <c r="JM25" s="93"/>
      <c r="JN25" s="89"/>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51"/>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50" t="str">
        <f>Donnees!$C$32</f>
        <v>Test</v>
      </c>
      <c r="C27" s="99">
        <v>0</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3"/>
      <c r="GB27" s="89"/>
      <c r="GC27" s="90"/>
      <c r="GD27" s="91"/>
      <c r="GE27" s="92"/>
      <c r="GF27" s="90"/>
      <c r="GG27" s="91"/>
      <c r="GH27" s="92"/>
      <c r="GI27" s="90"/>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90"/>
      <c r="HH27" s="91"/>
      <c r="HI27" s="92"/>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92"/>
      <c r="IN27" s="90"/>
      <c r="IO27" s="91"/>
      <c r="IP27" s="92"/>
      <c r="IQ27" s="90"/>
      <c r="IR27" s="91"/>
      <c r="IS27" s="92"/>
      <c r="IT27" s="90"/>
      <c r="IU27" s="91"/>
      <c r="IV27" s="92"/>
      <c r="IW27" s="90"/>
      <c r="IX27" s="91"/>
      <c r="IY27" s="92"/>
      <c r="IZ27" s="90"/>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51"/>
      <c r="C28" s="100">
        <v>6</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159"/>
      <c r="HS28" s="157"/>
      <c r="HT28" s="158"/>
      <c r="HU28" s="159"/>
      <c r="HV28" s="157"/>
      <c r="HW28" s="158"/>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50" t="str">
        <f>Donnees!$C$33</f>
        <v>Réparation des bugs</v>
      </c>
      <c r="C29" s="99">
        <v>0</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92"/>
      <c r="JC29" s="90"/>
      <c r="JD29" s="91"/>
      <c r="JE29" s="92"/>
      <c r="JF29" s="90"/>
      <c r="JG29" s="91"/>
      <c r="JH29" s="92"/>
      <c r="JI29" s="90"/>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51"/>
      <c r="C30" s="100">
        <v>7</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159"/>
      <c r="FQ30" s="157"/>
      <c r="FR30" s="158"/>
      <c r="FS30" s="159"/>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159"/>
      <c r="HY30" s="157"/>
      <c r="HZ30" s="158"/>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50" t="str">
        <f>Donnees!$C$34</f>
        <v>Documentation</v>
      </c>
      <c r="C31" s="99">
        <v>0</v>
      </c>
      <c r="D31" s="89"/>
      <c r="E31" s="90"/>
      <c r="F31" s="91"/>
      <c r="G31" s="92"/>
      <c r="H31" s="90"/>
      <c r="I31" s="91"/>
      <c r="J31" s="92"/>
      <c r="K31" s="90"/>
      <c r="L31" s="91"/>
      <c r="M31" s="92"/>
      <c r="N31" s="90"/>
      <c r="O31" s="91"/>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92"/>
      <c r="DO31" s="90"/>
      <c r="DP31" s="91"/>
      <c r="DQ31" s="92"/>
      <c r="DR31" s="90"/>
      <c r="DS31" s="91"/>
      <c r="DT31" s="92"/>
      <c r="DU31" s="90"/>
      <c r="DV31" s="91"/>
      <c r="DW31" s="92"/>
      <c r="DX31" s="90"/>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90"/>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90"/>
      <c r="GA31" s="93"/>
      <c r="GB31" s="89"/>
      <c r="GC31" s="90"/>
      <c r="GD31" s="91"/>
      <c r="GE31" s="92"/>
      <c r="GF31" s="90"/>
      <c r="GG31" s="91"/>
      <c r="GH31" s="92"/>
      <c r="GI31" s="90"/>
      <c r="GJ31" s="91"/>
      <c r="GK31" s="92"/>
      <c r="GL31" s="90"/>
      <c r="GM31" s="91"/>
      <c r="GN31" s="92"/>
      <c r="GO31" s="90"/>
      <c r="GP31" s="91"/>
      <c r="GQ31" s="92"/>
      <c r="GR31" s="90"/>
      <c r="GS31" s="91"/>
      <c r="GT31" s="92"/>
      <c r="GU31" s="90"/>
      <c r="GV31" s="91"/>
      <c r="GW31" s="92"/>
      <c r="GX31" s="90"/>
      <c r="GY31" s="91"/>
      <c r="GZ31" s="92"/>
      <c r="HA31" s="90"/>
      <c r="HB31" s="91"/>
      <c r="HC31" s="92"/>
      <c r="HD31" s="90"/>
      <c r="HE31" s="91"/>
      <c r="HF31" s="92"/>
      <c r="HG31" s="90"/>
      <c r="HH31" s="91"/>
      <c r="HI31" s="92"/>
      <c r="HJ31" s="90"/>
      <c r="HK31" s="91"/>
      <c r="HL31" s="92"/>
      <c r="HM31" s="90"/>
      <c r="HN31" s="91"/>
      <c r="HO31" s="92"/>
      <c r="HP31" s="90"/>
      <c r="HQ31" s="91"/>
      <c r="HR31" s="92"/>
      <c r="HS31" s="90"/>
      <c r="HT31" s="91"/>
      <c r="HU31" s="92"/>
      <c r="HV31" s="90"/>
      <c r="HW31" s="91"/>
      <c r="HX31" s="92"/>
      <c r="HY31" s="90"/>
      <c r="HZ31" s="91"/>
      <c r="IA31" s="92"/>
      <c r="IB31" s="90"/>
      <c r="IC31" s="91"/>
      <c r="ID31" s="92"/>
      <c r="IE31" s="90"/>
      <c r="IF31" s="91"/>
      <c r="IG31" s="92"/>
      <c r="IH31" s="90"/>
      <c r="II31" s="91"/>
      <c r="IJ31" s="92"/>
      <c r="IK31" s="90"/>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91"/>
      <c r="JK31" s="92"/>
      <c r="JL31" s="90"/>
      <c r="JM31" s="93"/>
      <c r="JN31" s="89"/>
      <c r="JO31" s="90"/>
      <c r="JP31" s="91"/>
      <c r="JQ31" s="92"/>
      <c r="JR31" s="90"/>
      <c r="JS31" s="91"/>
      <c r="JT31" s="92"/>
      <c r="JU31" s="90"/>
      <c r="JV31" s="91"/>
      <c r="JW31" s="92"/>
      <c r="JX31" s="90"/>
      <c r="JY31" s="91"/>
      <c r="JZ31" s="92"/>
      <c r="KA31" s="90"/>
      <c r="KB31" s="91"/>
      <c r="KC31" s="92"/>
      <c r="KD31" s="90"/>
      <c r="KE31" s="91"/>
      <c r="KF31" s="92"/>
      <c r="KG31" s="90"/>
      <c r="KH31" s="91"/>
      <c r="KI31" s="92"/>
      <c r="KJ31" s="90"/>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51"/>
      <c r="C32" s="100">
        <v>15</v>
      </c>
      <c r="D32" s="156"/>
      <c r="E32" s="157"/>
      <c r="F32" s="158"/>
      <c r="G32" s="159"/>
      <c r="H32" s="157"/>
      <c r="I32" s="158"/>
      <c r="J32" s="159"/>
      <c r="K32" s="157"/>
      <c r="L32" s="158"/>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97"/>
      <c r="DU32" s="95"/>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159"/>
      <c r="HM32" s="157"/>
      <c r="HN32" s="158"/>
      <c r="HO32" s="159"/>
      <c r="HP32" s="157"/>
      <c r="HQ32" s="158"/>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50" t="str">
        <f>Donnees!$C$35</f>
        <v>Journal de travail</v>
      </c>
      <c r="C33" s="99">
        <v>0</v>
      </c>
      <c r="D33" s="89"/>
      <c r="E33" s="90"/>
      <c r="F33" s="91"/>
      <c r="G33" s="92"/>
      <c r="H33" s="90"/>
      <c r="I33" s="91"/>
      <c r="J33" s="92"/>
      <c r="K33" s="90"/>
      <c r="L33" s="91"/>
      <c r="M33" s="92"/>
      <c r="N33" s="90"/>
      <c r="O33" s="91"/>
      <c r="P33" s="92"/>
      <c r="Q33" s="90"/>
      <c r="R33" s="91"/>
      <c r="S33" s="92"/>
      <c r="T33" s="90"/>
      <c r="U33" s="91"/>
      <c r="V33" s="92"/>
      <c r="W33" s="90"/>
      <c r="X33" s="91"/>
      <c r="Y33" s="92"/>
      <c r="Z33" s="90"/>
      <c r="AA33" s="91"/>
      <c r="AB33" s="92"/>
      <c r="AC33" s="90"/>
      <c r="AD33" s="91"/>
      <c r="AE33" s="92"/>
      <c r="AF33" s="90"/>
      <c r="AG33" s="91"/>
      <c r="AH33" s="92"/>
      <c r="AI33" s="90"/>
      <c r="AJ33" s="91"/>
      <c r="AK33" s="92"/>
      <c r="AL33" s="90"/>
      <c r="AM33" s="91"/>
      <c r="AN33" s="92"/>
      <c r="AO33" s="90"/>
      <c r="AP33" s="91"/>
      <c r="AQ33" s="92"/>
      <c r="AR33" s="90"/>
      <c r="AS33" s="91"/>
      <c r="AT33" s="92"/>
      <c r="AU33" s="90"/>
      <c r="AV33" s="91"/>
      <c r="AW33" s="92"/>
      <c r="AX33" s="90"/>
      <c r="AY33" s="91"/>
      <c r="AZ33" s="92"/>
      <c r="BA33" s="90"/>
      <c r="BB33" s="91"/>
      <c r="BC33" s="92"/>
      <c r="BD33" s="90"/>
      <c r="BE33" s="91"/>
      <c r="BF33" s="92"/>
      <c r="BG33" s="90"/>
      <c r="BH33" s="91"/>
      <c r="BI33" s="92"/>
      <c r="BJ33" s="90"/>
      <c r="BK33" s="91"/>
      <c r="BL33" s="92"/>
      <c r="BM33" s="90"/>
      <c r="BN33" s="91"/>
      <c r="BO33" s="92"/>
      <c r="BP33" s="90"/>
      <c r="BQ33" s="91"/>
      <c r="BR33" s="92"/>
      <c r="BS33" s="90"/>
      <c r="BT33" s="91"/>
      <c r="BU33" s="92"/>
      <c r="BV33" s="90"/>
      <c r="BW33" s="91"/>
      <c r="BX33" s="92"/>
      <c r="BY33" s="90"/>
      <c r="BZ33" s="91"/>
      <c r="CA33" s="92"/>
      <c r="CB33" s="90"/>
      <c r="CC33" s="91"/>
      <c r="CD33" s="92"/>
      <c r="CE33" s="90"/>
      <c r="CF33" s="91"/>
      <c r="CG33" s="92"/>
      <c r="CH33" s="90"/>
      <c r="CI33" s="91"/>
      <c r="CJ33" s="92"/>
      <c r="CK33" s="90"/>
      <c r="CL33" s="91"/>
      <c r="CM33" s="92"/>
      <c r="CN33" s="90"/>
      <c r="CO33" s="93"/>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91"/>
      <c r="DZ33" s="92"/>
      <c r="EA33" s="90"/>
      <c r="EB33" s="91"/>
      <c r="EC33" s="92"/>
      <c r="ED33" s="90"/>
      <c r="EE33" s="91"/>
      <c r="EF33" s="92"/>
      <c r="EG33" s="90"/>
      <c r="EH33" s="91"/>
      <c r="EI33" s="92"/>
      <c r="EJ33" s="90"/>
      <c r="EK33" s="91"/>
      <c r="EL33" s="92"/>
      <c r="EM33" s="90"/>
      <c r="EN33" s="91"/>
      <c r="EO33" s="92"/>
      <c r="EP33" s="90"/>
      <c r="EQ33" s="91"/>
      <c r="ER33" s="92"/>
      <c r="ES33" s="90"/>
      <c r="ET33" s="91"/>
      <c r="EU33" s="92"/>
      <c r="EV33" s="90"/>
      <c r="EW33" s="91"/>
      <c r="EX33" s="92"/>
      <c r="EY33" s="90"/>
      <c r="EZ33" s="91"/>
      <c r="FA33" s="92"/>
      <c r="FB33" s="90"/>
      <c r="FC33" s="91"/>
      <c r="FD33" s="92"/>
      <c r="FE33" s="90"/>
      <c r="FF33" s="91"/>
      <c r="FG33" s="92"/>
      <c r="FH33" s="90"/>
      <c r="FI33" s="91"/>
      <c r="FJ33" s="92"/>
      <c r="FK33" s="90"/>
      <c r="FL33" s="91"/>
      <c r="FM33" s="92"/>
      <c r="FN33" s="90"/>
      <c r="FO33" s="91"/>
      <c r="FP33" s="92"/>
      <c r="FQ33" s="90"/>
      <c r="FR33" s="91"/>
      <c r="FS33" s="92"/>
      <c r="FT33" s="90"/>
      <c r="FU33" s="91"/>
      <c r="FV33" s="92"/>
      <c r="FW33" s="90"/>
      <c r="FX33" s="91"/>
      <c r="FY33" s="92"/>
      <c r="FZ33" s="90"/>
      <c r="GA33" s="93"/>
      <c r="GB33" s="89"/>
      <c r="GC33" s="90"/>
      <c r="GD33" s="91"/>
      <c r="GE33" s="92"/>
      <c r="GF33" s="90"/>
      <c r="GG33" s="91"/>
      <c r="GH33" s="92"/>
      <c r="GI33" s="90"/>
      <c r="GJ33" s="91"/>
      <c r="GK33" s="92"/>
      <c r="GL33" s="90"/>
      <c r="GM33" s="91"/>
      <c r="GN33" s="92"/>
      <c r="GO33" s="90"/>
      <c r="GP33" s="91"/>
      <c r="GQ33" s="92"/>
      <c r="GR33" s="90"/>
      <c r="GS33" s="91"/>
      <c r="GT33" s="92"/>
      <c r="GU33" s="90"/>
      <c r="GV33" s="91"/>
      <c r="GW33" s="92"/>
      <c r="GX33" s="90"/>
      <c r="GY33" s="91"/>
      <c r="GZ33" s="92"/>
      <c r="HA33" s="90"/>
      <c r="HB33" s="91"/>
      <c r="HC33" s="92"/>
      <c r="HD33" s="90"/>
      <c r="HE33" s="91"/>
      <c r="HF33" s="92"/>
      <c r="HG33" s="90"/>
      <c r="HH33" s="91"/>
      <c r="HI33" s="92"/>
      <c r="HJ33" s="90"/>
      <c r="HK33" s="91"/>
      <c r="HL33" s="92"/>
      <c r="HM33" s="90"/>
      <c r="HN33" s="91"/>
      <c r="HO33" s="92"/>
      <c r="HP33" s="90"/>
      <c r="HQ33" s="91"/>
      <c r="HR33" s="92"/>
      <c r="HS33" s="90"/>
      <c r="HT33" s="91"/>
      <c r="HU33" s="92"/>
      <c r="HV33" s="90"/>
      <c r="HW33" s="91"/>
      <c r="HX33" s="92"/>
      <c r="HY33" s="90"/>
      <c r="HZ33" s="91"/>
      <c r="IA33" s="92"/>
      <c r="IB33" s="90"/>
      <c r="IC33" s="91"/>
      <c r="ID33" s="92"/>
      <c r="IE33" s="90"/>
      <c r="IF33" s="91"/>
      <c r="IG33" s="92"/>
      <c r="IH33" s="90"/>
      <c r="II33" s="91"/>
      <c r="IJ33" s="92"/>
      <c r="IK33" s="90"/>
      <c r="IL33" s="91"/>
      <c r="IM33" s="92"/>
      <c r="IN33" s="90"/>
      <c r="IO33" s="91"/>
      <c r="IP33" s="92"/>
      <c r="IQ33" s="90"/>
      <c r="IR33" s="91"/>
      <c r="IS33" s="92"/>
      <c r="IT33" s="90"/>
      <c r="IU33" s="91"/>
      <c r="IV33" s="92"/>
      <c r="IW33" s="90"/>
      <c r="IX33" s="91"/>
      <c r="IY33" s="92"/>
      <c r="IZ33" s="90"/>
      <c r="JA33" s="91"/>
      <c r="JB33" s="92"/>
      <c r="JC33" s="90"/>
      <c r="JD33" s="91"/>
      <c r="JE33" s="92"/>
      <c r="JF33" s="90"/>
      <c r="JG33" s="91"/>
      <c r="JH33" s="92"/>
      <c r="JI33" s="90"/>
      <c r="JJ33" s="91"/>
      <c r="JK33" s="92"/>
      <c r="JL33" s="90"/>
      <c r="JM33" s="93"/>
      <c r="JN33" s="89"/>
      <c r="JO33" s="90"/>
      <c r="JP33" s="91"/>
      <c r="JQ33" s="92"/>
      <c r="JR33" s="90"/>
      <c r="JS33" s="91"/>
      <c r="JT33" s="92"/>
      <c r="JU33" s="90"/>
      <c r="JV33" s="91"/>
      <c r="JW33" s="92"/>
      <c r="JX33" s="90"/>
      <c r="JY33" s="91"/>
      <c r="JZ33" s="92"/>
      <c r="KA33" s="90"/>
      <c r="KB33" s="91"/>
      <c r="KC33" s="92"/>
      <c r="KD33" s="90"/>
      <c r="KE33" s="91"/>
      <c r="KF33" s="92"/>
      <c r="KG33" s="90"/>
      <c r="KH33" s="91"/>
      <c r="KI33" s="92"/>
      <c r="KJ33" s="90"/>
      <c r="KK33" s="91"/>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thickBot="1" x14ac:dyDescent="0.25">
      <c r="B34" s="151"/>
      <c r="C34" s="100">
        <v>22</v>
      </c>
      <c r="D34" s="94"/>
      <c r="E34" s="95"/>
      <c r="F34" s="96"/>
      <c r="G34" s="97"/>
      <c r="H34" s="95"/>
      <c r="I34" s="96"/>
      <c r="J34" s="97"/>
      <c r="K34" s="95"/>
      <c r="L34" s="96"/>
      <c r="M34" s="159"/>
      <c r="N34" s="157"/>
      <c r="O34" s="158"/>
      <c r="P34" s="97"/>
      <c r="Q34" s="95"/>
      <c r="R34" s="96"/>
      <c r="S34" s="97"/>
      <c r="T34" s="95"/>
      <c r="U34" s="96"/>
      <c r="V34" s="97"/>
      <c r="W34" s="95"/>
      <c r="X34" s="96"/>
      <c r="Y34" s="97"/>
      <c r="Z34" s="157"/>
      <c r="AA34" s="158"/>
      <c r="AB34" s="97"/>
      <c r="AC34" s="95"/>
      <c r="AD34" s="96"/>
      <c r="AE34" s="97"/>
      <c r="AF34" s="95"/>
      <c r="AG34" s="96"/>
      <c r="AH34" s="97"/>
      <c r="AI34" s="95"/>
      <c r="AJ34" s="96"/>
      <c r="AK34" s="97"/>
      <c r="AL34" s="95"/>
      <c r="AM34" s="158"/>
      <c r="AN34" s="97"/>
      <c r="AO34" s="95"/>
      <c r="AP34" s="96"/>
      <c r="AQ34" s="97"/>
      <c r="AR34" s="95"/>
      <c r="AS34" s="96"/>
      <c r="AT34" s="97"/>
      <c r="AU34" s="95"/>
      <c r="AV34" s="96"/>
      <c r="AW34" s="97"/>
      <c r="AX34" s="95"/>
      <c r="AY34" s="96"/>
      <c r="AZ34" s="97"/>
      <c r="BA34" s="95"/>
      <c r="BB34" s="158"/>
      <c r="BC34" s="97"/>
      <c r="BD34" s="95"/>
      <c r="BE34" s="96"/>
      <c r="BF34" s="97"/>
      <c r="BG34" s="95"/>
      <c r="BH34" s="96"/>
      <c r="BI34" s="97"/>
      <c r="BJ34" s="95"/>
      <c r="BK34" s="96"/>
      <c r="BL34" s="97"/>
      <c r="BM34" s="95"/>
      <c r="BN34" s="96"/>
      <c r="BO34" s="97"/>
      <c r="BP34" s="95"/>
      <c r="BQ34" s="96"/>
      <c r="BR34" s="97"/>
      <c r="BS34" s="95"/>
      <c r="BT34" s="96"/>
      <c r="BU34" s="97"/>
      <c r="BV34" s="95"/>
      <c r="BW34" s="96"/>
      <c r="BX34" s="97"/>
      <c r="BY34" s="95"/>
      <c r="BZ34" s="96"/>
      <c r="CA34" s="97"/>
      <c r="CB34" s="95"/>
      <c r="CC34" s="158"/>
      <c r="CD34" s="97"/>
      <c r="CE34" s="95"/>
      <c r="CF34" s="96"/>
      <c r="CG34" s="97"/>
      <c r="CH34" s="95"/>
      <c r="CI34" s="96"/>
      <c r="CJ34" s="97"/>
      <c r="CK34" s="95"/>
      <c r="CL34" s="96"/>
      <c r="CM34" s="97"/>
      <c r="CN34" s="95"/>
      <c r="CO34" s="160"/>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158"/>
      <c r="DZ34" s="97"/>
      <c r="EA34" s="95"/>
      <c r="EB34" s="96"/>
      <c r="EC34" s="97"/>
      <c r="ED34" s="95"/>
      <c r="EE34" s="96"/>
      <c r="EF34" s="97"/>
      <c r="EG34" s="95"/>
      <c r="EH34" s="96"/>
      <c r="EI34" s="97"/>
      <c r="EJ34" s="95"/>
      <c r="EK34" s="96"/>
      <c r="EL34" s="97"/>
      <c r="EM34" s="95"/>
      <c r="EN34" s="158"/>
      <c r="EO34" s="97"/>
      <c r="EP34" s="95"/>
      <c r="EQ34" s="96"/>
      <c r="ER34" s="97"/>
      <c r="ES34" s="95"/>
      <c r="ET34" s="96"/>
      <c r="EU34" s="97"/>
      <c r="EV34" s="95"/>
      <c r="EW34" s="96"/>
      <c r="EX34" s="97"/>
      <c r="EY34" s="95"/>
      <c r="EZ34" s="158"/>
      <c r="FA34" s="97"/>
      <c r="FB34" s="95"/>
      <c r="FC34" s="96"/>
      <c r="FD34" s="97"/>
      <c r="FE34" s="95"/>
      <c r="FF34" s="96"/>
      <c r="FG34" s="97"/>
      <c r="FH34" s="95"/>
      <c r="FI34" s="96"/>
      <c r="FJ34" s="97"/>
      <c r="FK34" s="95"/>
      <c r="FL34" s="96"/>
      <c r="FM34" s="97"/>
      <c r="FN34" s="95"/>
      <c r="FO34" s="158"/>
      <c r="FP34" s="97"/>
      <c r="FQ34" s="95"/>
      <c r="FR34" s="96"/>
      <c r="FS34" s="97"/>
      <c r="FT34" s="95"/>
      <c r="FU34" s="96"/>
      <c r="FV34" s="97"/>
      <c r="FW34" s="95"/>
      <c r="FX34" s="96"/>
      <c r="FY34" s="97"/>
      <c r="FZ34" s="95"/>
      <c r="GA34" s="160"/>
      <c r="GB34" s="94"/>
      <c r="GC34" s="95"/>
      <c r="GD34" s="96"/>
      <c r="GE34" s="97"/>
      <c r="GF34" s="95"/>
      <c r="GG34" s="96"/>
      <c r="GH34" s="97"/>
      <c r="GI34" s="95"/>
      <c r="GJ34" s="96"/>
      <c r="GK34" s="97"/>
      <c r="GL34" s="95"/>
      <c r="GM34" s="96"/>
      <c r="GN34" s="159"/>
      <c r="GO34" s="157"/>
      <c r="GP34" s="96"/>
      <c r="GQ34" s="97"/>
      <c r="GR34" s="95"/>
      <c r="GS34" s="96"/>
      <c r="GT34" s="97"/>
      <c r="GU34" s="95"/>
      <c r="GV34" s="96"/>
      <c r="GW34" s="97"/>
      <c r="GX34" s="95"/>
      <c r="GY34" s="96"/>
      <c r="GZ34" s="97"/>
      <c r="HA34" s="95"/>
      <c r="HB34" s="96"/>
      <c r="HC34" s="97"/>
      <c r="HD34" s="95"/>
      <c r="HE34" s="96"/>
      <c r="HF34" s="97"/>
      <c r="HG34" s="95"/>
      <c r="HH34" s="96"/>
      <c r="HI34" s="97"/>
      <c r="HJ34" s="95"/>
      <c r="HK34" s="158"/>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157"/>
      <c r="IL34" s="158"/>
      <c r="IM34" s="97"/>
      <c r="IN34" s="95"/>
      <c r="IO34" s="96"/>
      <c r="IP34" s="97"/>
      <c r="IQ34" s="95"/>
      <c r="IR34" s="96"/>
      <c r="IS34" s="97"/>
      <c r="IT34" s="95"/>
      <c r="IU34" s="96"/>
      <c r="IV34" s="97"/>
      <c r="IW34" s="95"/>
      <c r="IX34" s="96"/>
      <c r="IY34" s="97"/>
      <c r="IZ34" s="157"/>
      <c r="JA34" s="96"/>
      <c r="JB34" s="97"/>
      <c r="JC34" s="95"/>
      <c r="JD34" s="96"/>
      <c r="JE34" s="97"/>
      <c r="JF34" s="95"/>
      <c r="JG34" s="96"/>
      <c r="JH34" s="97"/>
      <c r="JI34" s="95"/>
      <c r="JJ34" s="96"/>
      <c r="JK34" s="97"/>
      <c r="JL34" s="157"/>
      <c r="JM34" s="160"/>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150" t="str">
        <f>Donnees!$C$36</f>
        <v>Maquette</v>
      </c>
      <c r="C35" s="99">
        <v>0</v>
      </c>
      <c r="D35" s="89"/>
      <c r="E35" s="90"/>
      <c r="F35" s="91"/>
      <c r="G35" s="92"/>
      <c r="H35" s="90"/>
      <c r="I35" s="91"/>
      <c r="J35" s="92"/>
      <c r="K35" s="90"/>
      <c r="L35" s="91"/>
      <c r="M35" s="92"/>
      <c r="N35" s="90"/>
      <c r="O35" s="91"/>
      <c r="P35" s="92"/>
      <c r="Q35" s="90"/>
      <c r="R35" s="91"/>
      <c r="S35" s="92"/>
      <c r="T35" s="90"/>
      <c r="U35" s="91"/>
      <c r="V35" s="92"/>
      <c r="W35" s="90"/>
      <c r="X35" s="91"/>
      <c r="Y35" s="92"/>
      <c r="Z35" s="90"/>
      <c r="AA35" s="91"/>
      <c r="AB35" s="92"/>
      <c r="AC35" s="90"/>
      <c r="AD35" s="91"/>
      <c r="AE35" s="92"/>
      <c r="AF35" s="90"/>
      <c r="AG35" s="91"/>
      <c r="AH35" s="92"/>
      <c r="AI35" s="90"/>
      <c r="AJ35" s="91"/>
      <c r="AK35" s="92"/>
      <c r="AL35" s="90"/>
      <c r="AM35" s="91"/>
      <c r="AN35" s="92"/>
      <c r="AO35" s="90"/>
      <c r="AP35" s="91"/>
      <c r="AQ35" s="92"/>
      <c r="AR35" s="90"/>
      <c r="AS35" s="91"/>
      <c r="AT35" s="92"/>
      <c r="AU35" s="90"/>
      <c r="AV35" s="91"/>
      <c r="AW35" s="92"/>
      <c r="AX35" s="90"/>
      <c r="AY35" s="91"/>
      <c r="AZ35" s="92"/>
      <c r="BA35" s="90"/>
      <c r="BB35" s="91"/>
      <c r="BC35" s="92"/>
      <c r="BD35" s="90"/>
      <c r="BE35" s="91"/>
      <c r="BF35" s="92"/>
      <c r="BG35" s="90"/>
      <c r="BH35" s="91"/>
      <c r="BI35" s="92"/>
      <c r="BJ35" s="90"/>
      <c r="BK35" s="91"/>
      <c r="BL35" s="92"/>
      <c r="BM35" s="90"/>
      <c r="BN35" s="91"/>
      <c r="BO35" s="92"/>
      <c r="BP35" s="90"/>
      <c r="BQ35" s="91"/>
      <c r="BR35" s="92"/>
      <c r="BS35" s="90"/>
      <c r="BT35" s="91"/>
      <c r="BU35" s="92"/>
      <c r="BV35" s="90"/>
      <c r="BW35" s="91"/>
      <c r="BX35" s="92"/>
      <c r="BY35" s="90"/>
      <c r="BZ35" s="91"/>
      <c r="CA35" s="92"/>
      <c r="CB35" s="90"/>
      <c r="CC35" s="91"/>
      <c r="CD35" s="92"/>
      <c r="CE35" s="90"/>
      <c r="CF35" s="91"/>
      <c r="CG35" s="92"/>
      <c r="CH35" s="90"/>
      <c r="CI35" s="91"/>
      <c r="CJ35" s="92"/>
      <c r="CK35" s="90"/>
      <c r="CL35" s="91"/>
      <c r="CM35" s="92"/>
      <c r="CN35" s="90"/>
      <c r="CO35" s="93"/>
      <c r="CP35" s="89"/>
      <c r="CQ35" s="90"/>
      <c r="CR35" s="91"/>
      <c r="CS35" s="92"/>
      <c r="CT35" s="90"/>
      <c r="CU35" s="91"/>
      <c r="CV35" s="92"/>
      <c r="CW35" s="90"/>
      <c r="CX35" s="91"/>
      <c r="CY35" s="92"/>
      <c r="CZ35" s="90"/>
      <c r="DA35" s="91"/>
      <c r="DB35" s="92"/>
      <c r="DC35" s="90"/>
      <c r="DD35" s="91"/>
      <c r="DE35" s="92"/>
      <c r="DF35" s="90"/>
      <c r="DG35" s="91"/>
      <c r="DH35" s="92"/>
      <c r="DI35" s="90"/>
      <c r="DJ35" s="91"/>
      <c r="DK35" s="92"/>
      <c r="DL35" s="90"/>
      <c r="DM35" s="91"/>
      <c r="DN35" s="92"/>
      <c r="DO35" s="90"/>
      <c r="DP35" s="91"/>
      <c r="DQ35" s="92"/>
      <c r="DR35" s="90"/>
      <c r="DS35" s="91"/>
      <c r="DT35" s="92"/>
      <c r="DU35" s="90"/>
      <c r="DV35" s="91"/>
      <c r="DW35" s="92"/>
      <c r="DX35" s="90"/>
      <c r="DY35" s="91"/>
      <c r="DZ35" s="92"/>
      <c r="EA35" s="90"/>
      <c r="EB35" s="91"/>
      <c r="EC35" s="92"/>
      <c r="ED35" s="90"/>
      <c r="EE35" s="91"/>
      <c r="EF35" s="92"/>
      <c r="EG35" s="90"/>
      <c r="EH35" s="91"/>
      <c r="EI35" s="92"/>
      <c r="EJ35" s="90"/>
      <c r="EK35" s="91"/>
      <c r="EL35" s="92"/>
      <c r="EM35" s="90"/>
      <c r="EN35" s="91"/>
      <c r="EO35" s="92"/>
      <c r="EP35" s="90"/>
      <c r="EQ35" s="91"/>
      <c r="ER35" s="92"/>
      <c r="ES35" s="90"/>
      <c r="ET35" s="91"/>
      <c r="EU35" s="92"/>
      <c r="EV35" s="90"/>
      <c r="EW35" s="91"/>
      <c r="EX35" s="92"/>
      <c r="EY35" s="90"/>
      <c r="EZ35" s="91"/>
      <c r="FA35" s="92"/>
      <c r="FB35" s="90"/>
      <c r="FC35" s="91"/>
      <c r="FD35" s="92"/>
      <c r="FE35" s="90"/>
      <c r="FF35" s="91"/>
      <c r="FG35" s="92"/>
      <c r="FH35" s="90"/>
      <c r="FI35" s="91"/>
      <c r="FJ35" s="92"/>
      <c r="FK35" s="90"/>
      <c r="FL35" s="91"/>
      <c r="FM35" s="92"/>
      <c r="FN35" s="90"/>
      <c r="FO35" s="91"/>
      <c r="FP35" s="92"/>
      <c r="FQ35" s="90"/>
      <c r="FR35" s="91"/>
      <c r="FS35" s="92"/>
      <c r="FT35" s="90"/>
      <c r="FU35" s="91"/>
      <c r="FV35" s="92"/>
      <c r="FW35" s="90"/>
      <c r="FX35" s="91"/>
      <c r="FY35" s="92"/>
      <c r="FZ35" s="90"/>
      <c r="GA35" s="93"/>
      <c r="GB35" s="89"/>
      <c r="GC35" s="90"/>
      <c r="GD35" s="91"/>
      <c r="GE35" s="92"/>
      <c r="GF35" s="90"/>
      <c r="GG35" s="91"/>
      <c r="GH35" s="92"/>
      <c r="GI35" s="90"/>
      <c r="GJ35" s="91"/>
      <c r="GK35" s="92"/>
      <c r="GL35" s="90"/>
      <c r="GM35" s="91"/>
      <c r="GN35" s="92"/>
      <c r="GO35" s="90"/>
      <c r="GP35" s="91"/>
      <c r="GQ35" s="92"/>
      <c r="GR35" s="90"/>
      <c r="GS35" s="91"/>
      <c r="GT35" s="92"/>
      <c r="GU35" s="90"/>
      <c r="GV35" s="91"/>
      <c r="GW35" s="92"/>
      <c r="GX35" s="90"/>
      <c r="GY35" s="91"/>
      <c r="GZ35" s="92"/>
      <c r="HA35" s="90"/>
      <c r="HB35" s="91"/>
      <c r="HC35" s="92"/>
      <c r="HD35" s="90"/>
      <c r="HE35" s="91"/>
      <c r="HF35" s="92"/>
      <c r="HG35" s="90"/>
      <c r="HH35" s="91"/>
      <c r="HI35" s="92"/>
      <c r="HJ35" s="90"/>
      <c r="HK35" s="91"/>
      <c r="HL35" s="92"/>
      <c r="HM35" s="90"/>
      <c r="HN35" s="91"/>
      <c r="HO35" s="92"/>
      <c r="HP35" s="90"/>
      <c r="HQ35" s="91"/>
      <c r="HR35" s="92"/>
      <c r="HS35" s="90"/>
      <c r="HT35" s="91"/>
      <c r="HU35" s="92"/>
      <c r="HV35" s="90"/>
      <c r="HW35" s="91"/>
      <c r="HX35" s="92"/>
      <c r="HY35" s="90"/>
      <c r="HZ35" s="91"/>
      <c r="IA35" s="92"/>
      <c r="IB35" s="90"/>
      <c r="IC35" s="91"/>
      <c r="ID35" s="92"/>
      <c r="IE35" s="90"/>
      <c r="IF35" s="91"/>
      <c r="IG35" s="92"/>
      <c r="IH35" s="90"/>
      <c r="II35" s="91"/>
      <c r="IJ35" s="92"/>
      <c r="IK35" s="90"/>
      <c r="IL35" s="91"/>
      <c r="IM35" s="92"/>
      <c r="IN35" s="90"/>
      <c r="IO35" s="91"/>
      <c r="IP35" s="92"/>
      <c r="IQ35" s="90"/>
      <c r="IR35" s="91"/>
      <c r="IS35" s="92"/>
      <c r="IT35" s="90"/>
      <c r="IU35" s="91"/>
      <c r="IV35" s="92"/>
      <c r="IW35" s="90"/>
      <c r="IX35" s="91"/>
      <c r="IY35" s="92"/>
      <c r="IZ35" s="90"/>
      <c r="JA35" s="91"/>
      <c r="JB35" s="92"/>
      <c r="JC35" s="90"/>
      <c r="JD35" s="91"/>
      <c r="JE35" s="92"/>
      <c r="JF35" s="90"/>
      <c r="JG35" s="91"/>
      <c r="JH35" s="92"/>
      <c r="JI35" s="90"/>
      <c r="JJ35" s="91"/>
      <c r="JK35" s="92"/>
      <c r="JL35" s="90"/>
      <c r="JM35" s="93"/>
      <c r="JN35" s="89"/>
      <c r="JO35" s="90"/>
      <c r="JP35" s="91"/>
      <c r="JQ35" s="92"/>
      <c r="JR35" s="90"/>
      <c r="JS35" s="91"/>
      <c r="JT35" s="92"/>
      <c r="JU35" s="90"/>
      <c r="JV35" s="91"/>
      <c r="JW35" s="92"/>
      <c r="JX35" s="90"/>
      <c r="JY35" s="91"/>
      <c r="JZ35" s="92"/>
      <c r="KA35" s="90"/>
      <c r="KB35" s="91"/>
      <c r="KC35" s="92"/>
      <c r="KD35" s="90"/>
      <c r="KE35" s="91"/>
      <c r="KF35" s="92"/>
      <c r="KG35" s="90"/>
      <c r="KH35" s="91"/>
      <c r="KI35" s="92"/>
      <c r="KJ35" s="90"/>
      <c r="KK35" s="91"/>
      <c r="KL35" s="92"/>
      <c r="KM35" s="90"/>
      <c r="KN35" s="91"/>
      <c r="KO35" s="92"/>
      <c r="KP35" s="90"/>
      <c r="KQ35" s="91"/>
      <c r="KR35" s="92"/>
      <c r="KS35" s="90"/>
      <c r="KT35" s="91"/>
      <c r="KU35" s="92"/>
      <c r="KV35" s="90"/>
      <c r="KW35" s="91"/>
      <c r="KX35" s="92"/>
      <c r="KY35" s="90"/>
      <c r="KZ35" s="91"/>
      <c r="LA35" s="92"/>
      <c r="LB35" s="90"/>
      <c r="LC35" s="91"/>
      <c r="LD35" s="92"/>
      <c r="LE35" s="90"/>
      <c r="LF35" s="91"/>
      <c r="LG35" s="92"/>
      <c r="LH35" s="90"/>
      <c r="LI35" s="91"/>
      <c r="LJ35" s="92"/>
      <c r="LK35" s="90"/>
      <c r="LL35" s="91"/>
      <c r="LM35" s="92"/>
      <c r="LN35" s="90"/>
      <c r="LO35" s="91"/>
      <c r="LP35" s="92"/>
      <c r="LQ35" s="90"/>
      <c r="LR35" s="91"/>
      <c r="LS35" s="92"/>
      <c r="LT35" s="90"/>
      <c r="LU35" s="91"/>
      <c r="LV35" s="92"/>
      <c r="LW35" s="90"/>
      <c r="LX35" s="91"/>
      <c r="LY35" s="92"/>
      <c r="LZ35" s="90"/>
      <c r="MA35" s="91"/>
      <c r="MB35" s="92"/>
      <c r="MC35" s="90"/>
      <c r="MD35" s="91"/>
      <c r="ME35" s="92"/>
      <c r="MF35" s="90"/>
      <c r="MG35" s="91"/>
      <c r="MH35" s="92"/>
      <c r="MI35" s="90"/>
      <c r="MJ35" s="91"/>
      <c r="MK35" s="92"/>
      <c r="ML35" s="90"/>
      <c r="MM35" s="91"/>
      <c r="MN35" s="92"/>
      <c r="MO35" s="90"/>
      <c r="MP35" s="91"/>
      <c r="MQ35" s="92"/>
      <c r="MR35" s="90"/>
      <c r="MS35" s="91"/>
      <c r="MT35" s="92"/>
      <c r="MU35" s="90"/>
      <c r="MV35" s="91"/>
      <c r="MW35" s="92"/>
      <c r="MX35" s="90"/>
      <c r="MY35" s="93"/>
    </row>
    <row r="36" spans="2:363" ht="19.5" customHeight="1" x14ac:dyDescent="0.2">
      <c r="B36" s="151"/>
      <c r="C36" s="100">
        <v>5</v>
      </c>
      <c r="D36" s="94"/>
      <c r="E36" s="95"/>
      <c r="F36" s="96"/>
      <c r="G36" s="97"/>
      <c r="H36" s="95"/>
      <c r="I36" s="96"/>
      <c r="J36" s="97"/>
      <c r="K36" s="95"/>
      <c r="L36" s="96"/>
      <c r="M36" s="97"/>
      <c r="N36" s="95"/>
      <c r="O36" s="96"/>
      <c r="P36" s="97"/>
      <c r="Q36" s="95"/>
      <c r="R36" s="96"/>
      <c r="S36" s="97"/>
      <c r="T36" s="95"/>
      <c r="U36" s="96"/>
      <c r="V36" s="97"/>
      <c r="W36" s="95"/>
      <c r="X36" s="96"/>
      <c r="Y36" s="97"/>
      <c r="Z36" s="95"/>
      <c r="AA36" s="96"/>
      <c r="AB36" s="97"/>
      <c r="AC36" s="95"/>
      <c r="AD36" s="96"/>
      <c r="AE36" s="97"/>
      <c r="AF36" s="95"/>
      <c r="AG36" s="96"/>
      <c r="AH36" s="97"/>
      <c r="AI36" s="95"/>
      <c r="AJ36" s="96"/>
      <c r="AK36" s="97"/>
      <c r="AL36" s="95"/>
      <c r="AM36" s="96"/>
      <c r="AN36" s="97"/>
      <c r="AO36" s="95"/>
      <c r="AP36" s="96"/>
      <c r="AQ36" s="97"/>
      <c r="AR36" s="95"/>
      <c r="AS36" s="96"/>
      <c r="AT36" s="97"/>
      <c r="AU36" s="95"/>
      <c r="AV36" s="96"/>
      <c r="AW36" s="97"/>
      <c r="AX36" s="95"/>
      <c r="AY36" s="96"/>
      <c r="AZ36" s="97"/>
      <c r="BA36" s="95"/>
      <c r="BB36" s="96"/>
      <c r="BC36" s="97"/>
      <c r="BD36" s="95"/>
      <c r="BE36" s="96"/>
      <c r="BF36" s="97"/>
      <c r="BG36" s="95"/>
      <c r="BH36" s="96"/>
      <c r="BI36" s="97"/>
      <c r="BJ36" s="157"/>
      <c r="BK36" s="158"/>
      <c r="BL36" s="159"/>
      <c r="BM36" s="157"/>
      <c r="BN36" s="158"/>
      <c r="BO36" s="97"/>
      <c r="BP36" s="95"/>
      <c r="BQ36" s="96"/>
      <c r="BR36" s="97"/>
      <c r="BS36" s="95"/>
      <c r="BT36" s="96"/>
      <c r="BU36" s="97"/>
      <c r="BV36" s="95"/>
      <c r="BW36" s="96"/>
      <c r="BX36" s="97"/>
      <c r="BY36" s="95"/>
      <c r="BZ36" s="96"/>
      <c r="CA36" s="97"/>
      <c r="CB36" s="95"/>
      <c r="CC36" s="96"/>
      <c r="CD36" s="97"/>
      <c r="CE36" s="95"/>
      <c r="CF36" s="96"/>
      <c r="CG36" s="97"/>
      <c r="CH36" s="95"/>
      <c r="CI36" s="96"/>
      <c r="CJ36" s="97"/>
      <c r="CK36" s="95"/>
      <c r="CL36" s="96"/>
      <c r="CM36" s="97"/>
      <c r="CN36" s="95"/>
      <c r="CO36" s="98"/>
      <c r="CP36" s="94"/>
      <c r="CQ36" s="95"/>
      <c r="CR36" s="96"/>
      <c r="CS36" s="97"/>
      <c r="CT36" s="95"/>
      <c r="CU36" s="96"/>
      <c r="CV36" s="97"/>
      <c r="CW36" s="95"/>
      <c r="CX36" s="96"/>
      <c r="CY36" s="97"/>
      <c r="CZ36" s="95"/>
      <c r="DA36" s="96"/>
      <c r="DB36" s="97"/>
      <c r="DC36" s="95"/>
      <c r="DD36" s="96"/>
      <c r="DE36" s="97"/>
      <c r="DF36" s="95"/>
      <c r="DG36" s="96"/>
      <c r="DH36" s="97"/>
      <c r="DI36" s="95"/>
      <c r="DJ36" s="96"/>
      <c r="DK36" s="97"/>
      <c r="DL36" s="95"/>
      <c r="DM36" s="96"/>
      <c r="DN36" s="97"/>
      <c r="DO36" s="95"/>
      <c r="DP36" s="96"/>
      <c r="DQ36" s="97"/>
      <c r="DR36" s="95"/>
      <c r="DS36" s="96"/>
      <c r="DT36" s="97"/>
      <c r="DU36" s="95"/>
      <c r="DV36" s="96"/>
      <c r="DW36" s="97"/>
      <c r="DX36" s="95"/>
      <c r="DY36" s="96"/>
      <c r="DZ36" s="97"/>
      <c r="EA36" s="95"/>
      <c r="EB36" s="96"/>
      <c r="EC36" s="97"/>
      <c r="ED36" s="95"/>
      <c r="EE36" s="96"/>
      <c r="EF36" s="97"/>
      <c r="EG36" s="95"/>
      <c r="EH36" s="96"/>
      <c r="EI36" s="97"/>
      <c r="EJ36" s="95"/>
      <c r="EK36" s="96"/>
      <c r="EL36" s="97"/>
      <c r="EM36" s="95"/>
      <c r="EN36" s="96"/>
      <c r="EO36" s="97"/>
      <c r="EP36" s="95"/>
      <c r="EQ36" s="96"/>
      <c r="ER36" s="97"/>
      <c r="ES36" s="95"/>
      <c r="ET36" s="96"/>
      <c r="EU36" s="97"/>
      <c r="EV36" s="95"/>
      <c r="EW36" s="96"/>
      <c r="EX36" s="97"/>
      <c r="EY36" s="95"/>
      <c r="EZ36" s="96"/>
      <c r="FA36" s="97"/>
      <c r="FB36" s="95"/>
      <c r="FC36" s="96"/>
      <c r="FD36" s="97"/>
      <c r="FE36" s="95"/>
      <c r="FF36" s="96"/>
      <c r="FG36" s="97"/>
      <c r="FH36" s="95"/>
      <c r="FI36" s="96"/>
      <c r="FJ36" s="97"/>
      <c r="FK36" s="95"/>
      <c r="FL36" s="96"/>
      <c r="FM36" s="97"/>
      <c r="FN36" s="95"/>
      <c r="FO36" s="96"/>
      <c r="FP36" s="97"/>
      <c r="FQ36" s="95"/>
      <c r="FR36" s="96"/>
      <c r="FS36" s="97"/>
      <c r="FT36" s="95"/>
      <c r="FU36" s="96"/>
      <c r="FV36" s="97"/>
      <c r="FW36" s="95"/>
      <c r="FX36" s="96"/>
      <c r="FY36" s="97"/>
      <c r="FZ36" s="95"/>
      <c r="GA36" s="98"/>
      <c r="GB36" s="94"/>
      <c r="GC36" s="95"/>
      <c r="GD36" s="96"/>
      <c r="GE36" s="97"/>
      <c r="GF36" s="95"/>
      <c r="GG36" s="96"/>
      <c r="GH36" s="97"/>
      <c r="GI36" s="95"/>
      <c r="GJ36" s="96"/>
      <c r="GK36" s="97"/>
      <c r="GL36" s="95"/>
      <c r="GM36" s="96"/>
      <c r="GN36" s="97"/>
      <c r="GO36" s="95"/>
      <c r="GP36" s="96"/>
      <c r="GQ36" s="97"/>
      <c r="GR36" s="95"/>
      <c r="GS36" s="96"/>
      <c r="GT36" s="97"/>
      <c r="GU36" s="95"/>
      <c r="GV36" s="96"/>
      <c r="GW36" s="97"/>
      <c r="GX36" s="95"/>
      <c r="GY36" s="96"/>
      <c r="GZ36" s="97"/>
      <c r="HA36" s="95"/>
      <c r="HB36" s="96"/>
      <c r="HC36" s="97"/>
      <c r="HD36" s="95"/>
      <c r="HE36" s="96"/>
      <c r="HF36" s="97"/>
      <c r="HG36" s="95"/>
      <c r="HH36" s="96"/>
      <c r="HI36" s="97"/>
      <c r="HJ36" s="95"/>
      <c r="HK36" s="96"/>
      <c r="HL36" s="97"/>
      <c r="HM36" s="95"/>
      <c r="HN36" s="96"/>
      <c r="HO36" s="97"/>
      <c r="HP36" s="95"/>
      <c r="HQ36" s="96"/>
      <c r="HR36" s="97"/>
      <c r="HS36" s="95"/>
      <c r="HT36" s="96"/>
      <c r="HU36" s="97"/>
      <c r="HV36" s="95"/>
      <c r="HW36" s="96"/>
      <c r="HX36" s="97"/>
      <c r="HY36" s="95"/>
      <c r="HZ36" s="96"/>
      <c r="IA36" s="97"/>
      <c r="IB36" s="95"/>
      <c r="IC36" s="96"/>
      <c r="ID36" s="97"/>
      <c r="IE36" s="95"/>
      <c r="IF36" s="96"/>
      <c r="IG36" s="97"/>
      <c r="IH36" s="95"/>
      <c r="II36" s="96"/>
      <c r="IJ36" s="97"/>
      <c r="IK36" s="95"/>
      <c r="IL36" s="96"/>
      <c r="IM36" s="97"/>
      <c r="IN36" s="95"/>
      <c r="IO36" s="96"/>
      <c r="IP36" s="97"/>
      <c r="IQ36" s="95"/>
      <c r="IR36" s="96"/>
      <c r="IS36" s="97"/>
      <c r="IT36" s="95"/>
      <c r="IU36" s="96"/>
      <c r="IV36" s="97"/>
      <c r="IW36" s="95"/>
      <c r="IX36" s="96"/>
      <c r="IY36" s="97"/>
      <c r="IZ36" s="95"/>
      <c r="JA36" s="96"/>
      <c r="JB36" s="97"/>
      <c r="JC36" s="95"/>
      <c r="JD36" s="96"/>
      <c r="JE36" s="97"/>
      <c r="JF36" s="95"/>
      <c r="JG36" s="96"/>
      <c r="JH36" s="97"/>
      <c r="JI36" s="95"/>
      <c r="JJ36" s="96"/>
      <c r="JK36" s="97"/>
      <c r="JL36" s="95"/>
      <c r="JM36" s="98"/>
      <c r="JN36" s="94"/>
      <c r="JO36" s="95"/>
      <c r="JP36" s="96"/>
      <c r="JQ36" s="97"/>
      <c r="JR36" s="95"/>
      <c r="JS36" s="96"/>
      <c r="JT36" s="97"/>
      <c r="JU36" s="95"/>
      <c r="JV36" s="96"/>
      <c r="JW36" s="97"/>
      <c r="JX36" s="95"/>
      <c r="JY36" s="96"/>
      <c r="JZ36" s="97"/>
      <c r="KA36" s="95"/>
      <c r="KB36" s="96"/>
      <c r="KC36" s="97"/>
      <c r="KD36" s="95"/>
      <c r="KE36" s="96"/>
      <c r="KF36" s="97"/>
      <c r="KG36" s="95"/>
      <c r="KH36" s="96"/>
      <c r="KI36" s="97"/>
      <c r="KJ36" s="95"/>
      <c r="KK36" s="96"/>
      <c r="KL36" s="97"/>
      <c r="KM36" s="95"/>
      <c r="KN36" s="96"/>
      <c r="KO36" s="97"/>
      <c r="KP36" s="95"/>
      <c r="KQ36" s="96"/>
      <c r="KR36" s="97"/>
      <c r="KS36" s="95"/>
      <c r="KT36" s="96"/>
      <c r="KU36" s="97"/>
      <c r="KV36" s="95"/>
      <c r="KW36" s="96"/>
      <c r="KX36" s="97"/>
      <c r="KY36" s="95"/>
      <c r="KZ36" s="96"/>
      <c r="LA36" s="97"/>
      <c r="LB36" s="95"/>
      <c r="LC36" s="96"/>
      <c r="LD36" s="97"/>
      <c r="LE36" s="95"/>
      <c r="LF36" s="96"/>
      <c r="LG36" s="97"/>
      <c r="LH36" s="95"/>
      <c r="LI36" s="96"/>
      <c r="LJ36" s="97"/>
      <c r="LK36" s="95"/>
      <c r="LL36" s="96"/>
      <c r="LM36" s="97"/>
      <c r="LN36" s="95"/>
      <c r="LO36" s="96"/>
      <c r="LP36" s="97"/>
      <c r="LQ36" s="95"/>
      <c r="LR36" s="96"/>
      <c r="LS36" s="97"/>
      <c r="LT36" s="95"/>
      <c r="LU36" s="96"/>
      <c r="LV36" s="97"/>
      <c r="LW36" s="95"/>
      <c r="LX36" s="96"/>
      <c r="LY36" s="97"/>
      <c r="LZ36" s="95"/>
      <c r="MA36" s="96"/>
      <c r="MB36" s="97"/>
      <c r="MC36" s="95"/>
      <c r="MD36" s="96"/>
      <c r="ME36" s="97"/>
      <c r="MF36" s="95"/>
      <c r="MG36" s="96"/>
      <c r="MH36" s="97"/>
      <c r="MI36" s="95"/>
      <c r="MJ36" s="96"/>
      <c r="MK36" s="97"/>
      <c r="ML36" s="95"/>
      <c r="MM36" s="96"/>
      <c r="MN36" s="97"/>
      <c r="MO36" s="95"/>
      <c r="MP36" s="96"/>
      <c r="MQ36" s="97"/>
      <c r="MR36" s="95"/>
      <c r="MS36" s="96"/>
      <c r="MT36" s="97"/>
      <c r="MU36" s="95"/>
      <c r="MV36" s="96"/>
      <c r="MW36" s="97"/>
      <c r="MX36" s="95"/>
      <c r="MY36" s="98"/>
    </row>
    <row r="37" spans="2:363" ht="19.5" customHeight="1" x14ac:dyDescent="0.2">
      <c r="B37" s="47" t="s">
        <v>16</v>
      </c>
      <c r="C37" s="49">
        <f>SUM($C$3,$C$5,$C$7,$C$9,$C$11,$C$13,$C$15,$C$17,$C$19,$C$21,$C$23,$C$25,$C$27,$C$29,$C$31,$C$33,$C$35)</f>
        <v>0</v>
      </c>
      <c r="D37" s="102"/>
      <c r="E37" s="103"/>
      <c r="F37" s="103"/>
      <c r="G37" s="103"/>
      <c r="H37" s="103"/>
      <c r="I37" s="103"/>
      <c r="J37" s="103"/>
      <c r="K37" s="103"/>
      <c r="L37" s="103"/>
      <c r="M37" s="103"/>
      <c r="N37" s="103"/>
      <c r="O37" s="103"/>
      <c r="P37" s="103"/>
      <c r="Q37" s="103"/>
      <c r="R37" s="103"/>
      <c r="S37" s="103"/>
      <c r="T37" s="103"/>
      <c r="U37" s="103"/>
      <c r="V37" s="103"/>
      <c r="W37" s="103"/>
      <c r="X37" s="103"/>
      <c r="Y37" s="103"/>
      <c r="Z37" s="103"/>
      <c r="AA37" s="103"/>
      <c r="AB37" s="103"/>
      <c r="AC37" s="103"/>
      <c r="AD37" s="103"/>
      <c r="AE37" s="103"/>
      <c r="AF37" s="103"/>
      <c r="AG37" s="103"/>
      <c r="AH37" s="103"/>
      <c r="AI37" s="103"/>
      <c r="AJ37" s="103"/>
      <c r="AK37" s="103"/>
      <c r="AL37" s="103"/>
      <c r="AM37" s="103"/>
      <c r="AN37" s="103"/>
      <c r="AO37" s="103"/>
      <c r="AP37" s="103"/>
      <c r="AQ37" s="103"/>
      <c r="AR37" s="103"/>
      <c r="AS37" s="103"/>
      <c r="AT37" s="103"/>
      <c r="AU37" s="103"/>
      <c r="AV37" s="103"/>
      <c r="AW37" s="103"/>
      <c r="AX37" s="103"/>
      <c r="AY37" s="103"/>
      <c r="AZ37" s="103"/>
      <c r="BA37" s="103"/>
      <c r="BB37" s="103"/>
      <c r="BC37" s="103"/>
      <c r="BD37" s="103"/>
      <c r="BE37" s="103"/>
      <c r="BF37" s="103"/>
      <c r="BG37" s="103"/>
      <c r="BH37" s="103"/>
      <c r="BI37" s="103"/>
      <c r="BJ37" s="103"/>
      <c r="BK37" s="103"/>
      <c r="BL37" s="103"/>
      <c r="BM37" s="103"/>
      <c r="BN37" s="103"/>
      <c r="BO37" s="103"/>
      <c r="BP37" s="103"/>
      <c r="BQ37" s="103"/>
      <c r="BR37" s="103"/>
      <c r="BS37" s="103"/>
      <c r="BT37" s="103"/>
      <c r="BU37" s="103"/>
      <c r="BV37" s="103"/>
      <c r="BW37" s="103"/>
      <c r="BX37" s="103"/>
      <c r="BY37" s="103"/>
      <c r="BZ37" s="103"/>
      <c r="CA37" s="103"/>
      <c r="CB37" s="103"/>
      <c r="CC37" s="103"/>
      <c r="CD37" s="103"/>
      <c r="CE37" s="103"/>
      <c r="CF37" s="103"/>
      <c r="CG37" s="103"/>
      <c r="CH37" s="103"/>
      <c r="CI37" s="103"/>
      <c r="CJ37" s="103"/>
      <c r="CK37" s="103"/>
      <c r="CL37" s="103"/>
      <c r="CM37" s="103"/>
      <c r="CN37" s="103"/>
      <c r="CO37" s="104"/>
      <c r="CP37" s="102"/>
      <c r="CQ37" s="103"/>
      <c r="CR37" s="103"/>
      <c r="CS37" s="103"/>
      <c r="CT37" s="103"/>
      <c r="CU37" s="103"/>
      <c r="CV37" s="103"/>
      <c r="CW37" s="103"/>
      <c r="CX37" s="103"/>
      <c r="CY37" s="103"/>
      <c r="CZ37" s="103"/>
      <c r="DA37" s="103"/>
      <c r="DB37" s="103"/>
      <c r="DC37" s="103"/>
      <c r="DD37" s="103"/>
      <c r="DE37" s="103"/>
      <c r="DF37" s="103"/>
      <c r="DG37" s="103"/>
      <c r="DH37" s="103"/>
      <c r="DI37" s="103"/>
      <c r="DJ37" s="103"/>
      <c r="DK37" s="103"/>
      <c r="DL37" s="103"/>
      <c r="DM37" s="103"/>
      <c r="DN37" s="103"/>
      <c r="DO37" s="103"/>
      <c r="DP37" s="103"/>
      <c r="DQ37" s="103"/>
      <c r="DR37" s="103"/>
      <c r="DS37" s="103"/>
      <c r="DT37" s="103"/>
      <c r="DU37" s="103"/>
      <c r="DV37" s="103"/>
      <c r="DW37" s="103"/>
      <c r="DX37" s="103"/>
      <c r="DY37" s="103"/>
      <c r="DZ37" s="103"/>
      <c r="EA37" s="103"/>
      <c r="EB37" s="103"/>
      <c r="EC37" s="103"/>
      <c r="ED37" s="103"/>
      <c r="EE37" s="103"/>
      <c r="EF37" s="103"/>
      <c r="EG37" s="103"/>
      <c r="EH37" s="103"/>
      <c r="EI37" s="103"/>
      <c r="EJ37" s="103"/>
      <c r="EK37" s="103"/>
      <c r="EL37" s="103"/>
      <c r="EM37" s="103"/>
      <c r="EN37" s="103"/>
      <c r="EO37" s="103"/>
      <c r="EP37" s="103"/>
      <c r="EQ37" s="103"/>
      <c r="ER37" s="103"/>
      <c r="ES37" s="103"/>
      <c r="ET37" s="103"/>
      <c r="EU37" s="103"/>
      <c r="EV37" s="103"/>
      <c r="EW37" s="103"/>
      <c r="EX37" s="103"/>
      <c r="EY37" s="103"/>
      <c r="EZ37" s="103"/>
      <c r="FA37" s="103"/>
      <c r="FB37" s="103"/>
      <c r="FC37" s="103"/>
      <c r="FD37" s="103"/>
      <c r="FE37" s="103"/>
      <c r="FF37" s="103"/>
      <c r="FG37" s="103"/>
      <c r="FH37" s="103"/>
      <c r="FI37" s="103"/>
      <c r="FJ37" s="103"/>
      <c r="FK37" s="103"/>
      <c r="FL37" s="103"/>
      <c r="FM37" s="103"/>
      <c r="FN37" s="103"/>
      <c r="FO37" s="103"/>
      <c r="FP37" s="103"/>
      <c r="FQ37" s="103"/>
      <c r="FR37" s="103"/>
      <c r="FS37" s="103"/>
      <c r="FT37" s="103"/>
      <c r="FU37" s="103"/>
      <c r="FV37" s="103"/>
      <c r="FW37" s="103"/>
      <c r="FX37" s="103"/>
      <c r="FY37" s="103"/>
      <c r="FZ37" s="103"/>
      <c r="GA37" s="104"/>
      <c r="GB37" s="102"/>
      <c r="GC37" s="103"/>
      <c r="GD37" s="103"/>
      <c r="GE37" s="103"/>
      <c r="GF37" s="103"/>
      <c r="GG37" s="103"/>
      <c r="GH37" s="103"/>
      <c r="GI37" s="103"/>
      <c r="GJ37" s="103"/>
      <c r="GK37" s="103"/>
      <c r="GL37" s="103"/>
      <c r="GM37" s="103"/>
      <c r="GN37" s="103"/>
      <c r="GO37" s="103"/>
      <c r="GP37" s="103"/>
      <c r="GQ37" s="103"/>
      <c r="GR37" s="103"/>
      <c r="GS37" s="103"/>
      <c r="GT37" s="103"/>
      <c r="GU37" s="103"/>
      <c r="GV37" s="103"/>
      <c r="GW37" s="103"/>
      <c r="GX37" s="103"/>
      <c r="GY37" s="103"/>
      <c r="GZ37" s="103"/>
      <c r="HA37" s="103"/>
      <c r="HB37" s="103"/>
      <c r="HC37" s="103"/>
      <c r="HD37" s="103"/>
      <c r="HE37" s="103"/>
      <c r="HF37" s="103"/>
      <c r="HG37" s="103"/>
      <c r="HH37" s="103"/>
      <c r="HI37" s="103"/>
      <c r="HJ37" s="103"/>
      <c r="HK37" s="103"/>
      <c r="HL37" s="103"/>
      <c r="HM37" s="103"/>
      <c r="HN37" s="103"/>
      <c r="HO37" s="103"/>
      <c r="HP37" s="103"/>
      <c r="HQ37" s="103"/>
      <c r="HR37" s="103"/>
      <c r="HS37" s="103"/>
      <c r="HT37" s="103"/>
      <c r="HU37" s="103"/>
      <c r="HV37" s="103"/>
      <c r="HW37" s="103"/>
      <c r="HX37" s="103"/>
      <c r="HY37" s="103"/>
      <c r="HZ37" s="103"/>
      <c r="IA37" s="103"/>
      <c r="IB37" s="103"/>
      <c r="IC37" s="103"/>
      <c r="ID37" s="103"/>
      <c r="IE37" s="103"/>
      <c r="IF37" s="103"/>
      <c r="IG37" s="103"/>
      <c r="IH37" s="103"/>
      <c r="II37" s="103"/>
      <c r="IJ37" s="103"/>
      <c r="IK37" s="103"/>
      <c r="IL37" s="103"/>
      <c r="IM37" s="103"/>
      <c r="IN37" s="103"/>
      <c r="IO37" s="103"/>
      <c r="IP37" s="103"/>
      <c r="IQ37" s="103"/>
      <c r="IR37" s="103"/>
      <c r="IS37" s="103"/>
      <c r="IT37" s="103"/>
      <c r="IU37" s="103"/>
      <c r="IV37" s="103"/>
      <c r="IW37" s="103"/>
      <c r="IX37" s="103"/>
      <c r="IY37" s="103"/>
      <c r="IZ37" s="103"/>
      <c r="JA37" s="103"/>
      <c r="JB37" s="103"/>
      <c r="JC37" s="103"/>
      <c r="JD37" s="103"/>
      <c r="JE37" s="103"/>
      <c r="JF37" s="103"/>
      <c r="JG37" s="103"/>
      <c r="JH37" s="103"/>
      <c r="JI37" s="103"/>
      <c r="JJ37" s="103"/>
      <c r="JK37" s="103"/>
      <c r="JL37" s="103"/>
      <c r="JM37" s="104"/>
      <c r="JN37" s="102"/>
      <c r="JO37" s="103"/>
      <c r="JP37" s="103"/>
      <c r="JQ37" s="103"/>
      <c r="JR37" s="103"/>
      <c r="JS37" s="103"/>
      <c r="JT37" s="103"/>
      <c r="JU37" s="103"/>
      <c r="JV37" s="103"/>
      <c r="JW37" s="103"/>
      <c r="JX37" s="103"/>
      <c r="JY37" s="103"/>
      <c r="JZ37" s="103"/>
      <c r="KA37" s="103"/>
      <c r="KB37" s="103"/>
      <c r="KC37" s="103"/>
      <c r="KD37" s="103"/>
      <c r="KE37" s="103"/>
      <c r="KF37" s="103"/>
      <c r="KG37" s="103"/>
      <c r="KH37" s="103"/>
      <c r="KI37" s="103"/>
      <c r="KJ37" s="103"/>
      <c r="KK37" s="103"/>
      <c r="KL37" s="103"/>
      <c r="KM37" s="103"/>
      <c r="KN37" s="103"/>
      <c r="KO37" s="103"/>
      <c r="KP37" s="103"/>
      <c r="KQ37" s="103"/>
      <c r="KR37" s="103"/>
      <c r="KS37" s="103"/>
      <c r="KT37" s="103"/>
      <c r="KU37" s="103"/>
      <c r="KV37" s="103"/>
      <c r="KW37" s="103"/>
      <c r="KX37" s="103"/>
      <c r="KY37" s="103"/>
      <c r="KZ37" s="103"/>
      <c r="LA37" s="103"/>
      <c r="LB37" s="103"/>
      <c r="LC37" s="103"/>
      <c r="LD37" s="103"/>
      <c r="LE37" s="103"/>
      <c r="LF37" s="103"/>
      <c r="LG37" s="103"/>
      <c r="LH37" s="103"/>
      <c r="LI37" s="103"/>
      <c r="LJ37" s="103"/>
      <c r="LK37" s="103"/>
      <c r="LL37" s="103"/>
      <c r="LM37" s="103"/>
      <c r="LN37" s="103"/>
      <c r="LO37" s="103"/>
      <c r="LP37" s="103"/>
      <c r="LQ37" s="103"/>
      <c r="LR37" s="103"/>
      <c r="LS37" s="103"/>
      <c r="LT37" s="103"/>
      <c r="LU37" s="103"/>
      <c r="LV37" s="103"/>
      <c r="LW37" s="103"/>
      <c r="LX37" s="103"/>
      <c r="LY37" s="103"/>
      <c r="LZ37" s="103"/>
      <c r="MA37" s="103"/>
      <c r="MB37" s="103"/>
      <c r="MC37" s="103"/>
      <c r="MD37" s="103"/>
      <c r="ME37" s="103"/>
      <c r="MF37" s="103"/>
      <c r="MG37" s="103"/>
      <c r="MH37" s="103"/>
      <c r="MI37" s="103"/>
      <c r="MJ37" s="103"/>
      <c r="MK37" s="103"/>
      <c r="ML37" s="103"/>
      <c r="MM37" s="103"/>
      <c r="MN37" s="103"/>
      <c r="MO37" s="103"/>
      <c r="MP37" s="103"/>
      <c r="MQ37" s="103"/>
      <c r="MR37" s="103"/>
      <c r="MS37" s="103"/>
      <c r="MT37" s="103"/>
      <c r="MU37" s="103"/>
      <c r="MV37" s="103"/>
      <c r="MW37" s="103"/>
      <c r="MX37" s="103"/>
      <c r="MY37" s="104"/>
    </row>
    <row r="38" spans="2:363" ht="19.5" customHeight="1" thickBot="1" x14ac:dyDescent="0.25">
      <c r="B38" s="48" t="s">
        <v>17</v>
      </c>
      <c r="C38" s="50">
        <f>SUM($C$4,$C$6,$C$8,$C$10,$C$12,$C$14,$C$16,$C$18,$C$20,$C$22,$C$24,$C$26,$C$28,$C$30,$C$32,$C$34,$C$36)</f>
        <v>270</v>
      </c>
      <c r="D38" s="105"/>
      <c r="E38" s="106"/>
      <c r="F38" s="106"/>
      <c r="G38" s="106"/>
      <c r="H38" s="106"/>
      <c r="I38" s="106"/>
      <c r="J38" s="106"/>
      <c r="K38" s="106"/>
      <c r="L38" s="106"/>
      <c r="M38" s="106"/>
      <c r="N38" s="106"/>
      <c r="O38" s="106"/>
      <c r="P38" s="106"/>
      <c r="Q38" s="106"/>
      <c r="R38" s="106"/>
      <c r="S38" s="106"/>
      <c r="T38" s="106"/>
      <c r="U38" s="106"/>
      <c r="V38" s="106"/>
      <c r="W38" s="106"/>
      <c r="X38" s="106"/>
      <c r="Y38" s="106"/>
      <c r="Z38" s="106"/>
      <c r="AA38" s="106"/>
      <c r="AB38" s="106"/>
      <c r="AC38" s="106"/>
      <c r="AD38" s="106"/>
      <c r="AE38" s="106"/>
      <c r="AF38" s="106"/>
      <c r="AG38" s="106"/>
      <c r="AH38" s="106"/>
      <c r="AI38" s="106"/>
      <c r="AJ38" s="106"/>
      <c r="AK38" s="106"/>
      <c r="AL38" s="106"/>
      <c r="AM38" s="106"/>
      <c r="AN38" s="106"/>
      <c r="AO38" s="106"/>
      <c r="AP38" s="106"/>
      <c r="AQ38" s="106"/>
      <c r="AR38" s="106"/>
      <c r="AS38" s="106"/>
      <c r="AT38" s="106"/>
      <c r="AU38" s="106"/>
      <c r="AV38" s="106"/>
      <c r="AW38" s="106"/>
      <c r="AX38" s="106"/>
      <c r="AY38" s="106"/>
      <c r="AZ38" s="106"/>
      <c r="BA38" s="106"/>
      <c r="BB38" s="106"/>
      <c r="BC38" s="106"/>
      <c r="BD38" s="106"/>
      <c r="BE38" s="106"/>
      <c r="BF38" s="106"/>
      <c r="BG38" s="106"/>
      <c r="BH38" s="106"/>
      <c r="BI38" s="106"/>
      <c r="BJ38" s="106"/>
      <c r="BK38" s="106"/>
      <c r="BL38" s="106"/>
      <c r="BM38" s="106"/>
      <c r="BN38" s="106"/>
      <c r="BO38" s="106"/>
      <c r="BP38" s="106"/>
      <c r="BQ38" s="106"/>
      <c r="BR38" s="106"/>
      <c r="BS38" s="106"/>
      <c r="BT38" s="106"/>
      <c r="BU38" s="106"/>
      <c r="BV38" s="106"/>
      <c r="BW38" s="106"/>
      <c r="BX38" s="106"/>
      <c r="BY38" s="106"/>
      <c r="BZ38" s="106"/>
      <c r="CA38" s="106"/>
      <c r="CB38" s="106"/>
      <c r="CC38" s="106"/>
      <c r="CD38" s="106"/>
      <c r="CE38" s="106"/>
      <c r="CF38" s="106"/>
      <c r="CG38" s="106"/>
      <c r="CH38" s="106"/>
      <c r="CI38" s="106"/>
      <c r="CJ38" s="106"/>
      <c r="CK38" s="106"/>
      <c r="CL38" s="106"/>
      <c r="CM38" s="106"/>
      <c r="CN38" s="106"/>
      <c r="CO38" s="107"/>
      <c r="CP38" s="105"/>
      <c r="CQ38" s="106"/>
      <c r="CR38" s="106"/>
      <c r="CS38" s="106"/>
      <c r="CT38" s="106"/>
      <c r="CU38" s="106"/>
      <c r="CV38" s="106"/>
      <c r="CW38" s="106"/>
      <c r="CX38" s="106"/>
      <c r="CY38" s="106"/>
      <c r="CZ38" s="106"/>
      <c r="DA38" s="106"/>
      <c r="DB38" s="106"/>
      <c r="DC38" s="106"/>
      <c r="DD38" s="106"/>
      <c r="DE38" s="106"/>
      <c r="DF38" s="106"/>
      <c r="DG38" s="106"/>
      <c r="DH38" s="106"/>
      <c r="DI38" s="106"/>
      <c r="DJ38" s="106"/>
      <c r="DK38" s="106"/>
      <c r="DL38" s="106"/>
      <c r="DM38" s="106"/>
      <c r="DN38" s="106"/>
      <c r="DO38" s="106"/>
      <c r="DP38" s="106"/>
      <c r="DQ38" s="106"/>
      <c r="DR38" s="106"/>
      <c r="DS38" s="106"/>
      <c r="DT38" s="106"/>
      <c r="DU38" s="106"/>
      <c r="DV38" s="106"/>
      <c r="DW38" s="106"/>
      <c r="DX38" s="106"/>
      <c r="DY38" s="106"/>
      <c r="DZ38" s="106"/>
      <c r="EA38" s="106"/>
      <c r="EB38" s="106"/>
      <c r="EC38" s="106"/>
      <c r="ED38" s="106"/>
      <c r="EE38" s="106"/>
      <c r="EF38" s="106"/>
      <c r="EG38" s="106"/>
      <c r="EH38" s="106"/>
      <c r="EI38" s="106"/>
      <c r="EJ38" s="106"/>
      <c r="EK38" s="106"/>
      <c r="EL38" s="106"/>
      <c r="EM38" s="106"/>
      <c r="EN38" s="106"/>
      <c r="EO38" s="106"/>
      <c r="EP38" s="106"/>
      <c r="EQ38" s="106"/>
      <c r="ER38" s="106"/>
      <c r="ES38" s="106"/>
      <c r="ET38" s="106"/>
      <c r="EU38" s="106"/>
      <c r="EV38" s="106"/>
      <c r="EW38" s="106"/>
      <c r="EX38" s="106"/>
      <c r="EY38" s="106"/>
      <c r="EZ38" s="106"/>
      <c r="FA38" s="106"/>
      <c r="FB38" s="106"/>
      <c r="FC38" s="106"/>
      <c r="FD38" s="106"/>
      <c r="FE38" s="106"/>
      <c r="FF38" s="106"/>
      <c r="FG38" s="106"/>
      <c r="FH38" s="106"/>
      <c r="FI38" s="106"/>
      <c r="FJ38" s="106"/>
      <c r="FK38" s="106"/>
      <c r="FL38" s="106"/>
      <c r="FM38" s="106"/>
      <c r="FN38" s="106"/>
      <c r="FO38" s="106"/>
      <c r="FP38" s="106"/>
      <c r="FQ38" s="106"/>
      <c r="FR38" s="106"/>
      <c r="FS38" s="106"/>
      <c r="FT38" s="106"/>
      <c r="FU38" s="106"/>
      <c r="FV38" s="106"/>
      <c r="FW38" s="106"/>
      <c r="FX38" s="106"/>
      <c r="FY38" s="106"/>
      <c r="FZ38" s="106"/>
      <c r="GA38" s="107"/>
      <c r="GB38" s="105"/>
      <c r="GC38" s="106"/>
      <c r="GD38" s="106"/>
      <c r="GE38" s="106"/>
      <c r="GF38" s="106"/>
      <c r="GG38" s="106"/>
      <c r="GH38" s="106"/>
      <c r="GI38" s="106"/>
      <c r="GJ38" s="106"/>
      <c r="GK38" s="106"/>
      <c r="GL38" s="106"/>
      <c r="GM38" s="106"/>
      <c r="GN38" s="106"/>
      <c r="GO38" s="106"/>
      <c r="GP38" s="106"/>
      <c r="GQ38" s="106"/>
      <c r="GR38" s="106"/>
      <c r="GS38" s="106"/>
      <c r="GT38" s="106"/>
      <c r="GU38" s="106"/>
      <c r="GV38" s="106"/>
      <c r="GW38" s="106"/>
      <c r="GX38" s="106"/>
      <c r="GY38" s="106"/>
      <c r="GZ38" s="106"/>
      <c r="HA38" s="106"/>
      <c r="HB38" s="106"/>
      <c r="HC38" s="106"/>
      <c r="HD38" s="106"/>
      <c r="HE38" s="106"/>
      <c r="HF38" s="106"/>
      <c r="HG38" s="106"/>
      <c r="HH38" s="106"/>
      <c r="HI38" s="106"/>
      <c r="HJ38" s="106"/>
      <c r="HK38" s="106"/>
      <c r="HL38" s="106"/>
      <c r="HM38" s="106"/>
      <c r="HN38" s="106"/>
      <c r="HO38" s="106"/>
      <c r="HP38" s="106"/>
      <c r="HQ38" s="106"/>
      <c r="HR38" s="106"/>
      <c r="HS38" s="106"/>
      <c r="HT38" s="106"/>
      <c r="HU38" s="106"/>
      <c r="HV38" s="106"/>
      <c r="HW38" s="106"/>
      <c r="HX38" s="106"/>
      <c r="HY38" s="106"/>
      <c r="HZ38" s="106"/>
      <c r="IA38" s="106"/>
      <c r="IB38" s="106"/>
      <c r="IC38" s="106"/>
      <c r="ID38" s="106"/>
      <c r="IE38" s="106"/>
      <c r="IF38" s="106"/>
      <c r="IG38" s="106"/>
      <c r="IH38" s="106"/>
      <c r="II38" s="106"/>
      <c r="IJ38" s="106"/>
      <c r="IK38" s="106"/>
      <c r="IL38" s="106"/>
      <c r="IM38" s="106"/>
      <c r="IN38" s="106"/>
      <c r="IO38" s="106"/>
      <c r="IP38" s="106"/>
      <c r="IQ38" s="106"/>
      <c r="IR38" s="106"/>
      <c r="IS38" s="106"/>
      <c r="IT38" s="106"/>
      <c r="IU38" s="106"/>
      <c r="IV38" s="106"/>
      <c r="IW38" s="106"/>
      <c r="IX38" s="106"/>
      <c r="IY38" s="106"/>
      <c r="IZ38" s="106"/>
      <c r="JA38" s="106"/>
      <c r="JB38" s="106"/>
      <c r="JC38" s="106"/>
      <c r="JD38" s="106"/>
      <c r="JE38" s="106"/>
      <c r="JF38" s="106"/>
      <c r="JG38" s="106"/>
      <c r="JH38" s="106"/>
      <c r="JI38" s="106"/>
      <c r="JJ38" s="106"/>
      <c r="JK38" s="106"/>
      <c r="JL38" s="106"/>
      <c r="JM38" s="107"/>
      <c r="JN38" s="105"/>
      <c r="JO38" s="106"/>
      <c r="JP38" s="106"/>
      <c r="JQ38" s="106"/>
      <c r="JR38" s="106"/>
      <c r="JS38" s="106"/>
      <c r="JT38" s="106"/>
      <c r="JU38" s="106"/>
      <c r="JV38" s="106"/>
      <c r="JW38" s="106"/>
      <c r="JX38" s="106"/>
      <c r="JY38" s="106"/>
      <c r="JZ38" s="106"/>
      <c r="KA38" s="106"/>
      <c r="KB38" s="106"/>
      <c r="KC38" s="106"/>
      <c r="KD38" s="106"/>
      <c r="KE38" s="106"/>
      <c r="KF38" s="106"/>
      <c r="KG38" s="106"/>
      <c r="KH38" s="106"/>
      <c r="KI38" s="106"/>
      <c r="KJ38" s="106"/>
      <c r="KK38" s="106"/>
      <c r="KL38" s="106"/>
      <c r="KM38" s="106"/>
      <c r="KN38" s="106"/>
      <c r="KO38" s="106"/>
      <c r="KP38" s="106"/>
      <c r="KQ38" s="106"/>
      <c r="KR38" s="106"/>
      <c r="KS38" s="106"/>
      <c r="KT38" s="106"/>
      <c r="KU38" s="106"/>
      <c r="KV38" s="106"/>
      <c r="KW38" s="106"/>
      <c r="KX38" s="106"/>
      <c r="KY38" s="106"/>
      <c r="KZ38" s="106"/>
      <c r="LA38" s="106"/>
      <c r="LB38" s="106"/>
      <c r="LC38" s="106"/>
      <c r="LD38" s="106"/>
      <c r="LE38" s="106"/>
      <c r="LF38" s="106"/>
      <c r="LG38" s="106"/>
      <c r="LH38" s="106"/>
      <c r="LI38" s="106"/>
      <c r="LJ38" s="106"/>
      <c r="LK38" s="106"/>
      <c r="LL38" s="106"/>
      <c r="LM38" s="106"/>
      <c r="LN38" s="106"/>
      <c r="LO38" s="106"/>
      <c r="LP38" s="106"/>
      <c r="LQ38" s="106"/>
      <c r="LR38" s="106"/>
      <c r="LS38" s="106"/>
      <c r="LT38" s="106"/>
      <c r="LU38" s="106"/>
      <c r="LV38" s="106"/>
      <c r="LW38" s="106"/>
      <c r="LX38" s="106"/>
      <c r="LY38" s="106"/>
      <c r="LZ38" s="106"/>
      <c r="MA38" s="106"/>
      <c r="MB38" s="106"/>
      <c r="MC38" s="106"/>
      <c r="MD38" s="106"/>
      <c r="ME38" s="106"/>
      <c r="MF38" s="106"/>
      <c r="MG38" s="106"/>
      <c r="MH38" s="106"/>
      <c r="MI38" s="106"/>
      <c r="MJ38" s="106"/>
      <c r="MK38" s="106"/>
      <c r="ML38" s="106"/>
      <c r="MM38" s="106"/>
      <c r="MN38" s="106"/>
      <c r="MO38" s="106"/>
      <c r="MP38" s="106"/>
      <c r="MQ38" s="106"/>
      <c r="MR38" s="106"/>
      <c r="MS38" s="106"/>
      <c r="MT38" s="106"/>
      <c r="MU38" s="106"/>
      <c r="MV38" s="106"/>
      <c r="MW38" s="106"/>
      <c r="MX38" s="106"/>
      <c r="MY38" s="107"/>
    </row>
  </sheetData>
  <sheetProtection sheet="1" objects="1" scenarios="1" insertRows="0" selectLockedCells="1"/>
  <mergeCells count="21">
    <mergeCell ref="CP2:GA2"/>
    <mergeCell ref="GB2:JM2"/>
    <mergeCell ref="JN2:MY2"/>
    <mergeCell ref="B27:B28"/>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52" t="s">
        <v>21</v>
      </c>
      <c r="C3" s="30">
        <v>0</v>
      </c>
    </row>
    <row r="4" spans="1:4" ht="19.5" customHeight="1" x14ac:dyDescent="0.2">
      <c r="A4" s="34"/>
      <c r="B4" s="155"/>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35"/>
  <sheetViews>
    <sheetView tabSelected="1" view="pageBreakPreview" topLeftCell="A79" zoomScale="115" zoomScaleNormal="100" zoomScaleSheetLayoutView="115" workbookViewId="0">
      <selection activeCell="F15" sqref="F15"/>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108"/>
      <c r="B3" s="109"/>
      <c r="C3" s="110" t="s">
        <v>52</v>
      </c>
      <c r="D3" s="121"/>
    </row>
    <row r="4" spans="1:4" s="81" customFormat="1" ht="38.25" x14ac:dyDescent="0.2">
      <c r="A4" s="5" t="s">
        <v>27</v>
      </c>
      <c r="B4" s="6">
        <v>6</v>
      </c>
      <c r="C4" s="14" t="s">
        <v>62</v>
      </c>
      <c r="D4" s="122" t="s">
        <v>63</v>
      </c>
    </row>
    <row r="5" spans="1:4" s="81" customFormat="1" ht="40.5" x14ac:dyDescent="0.2">
      <c r="A5" s="5" t="s">
        <v>27</v>
      </c>
      <c r="B5" s="6">
        <v>2</v>
      </c>
      <c r="C5" s="14" t="s">
        <v>68</v>
      </c>
      <c r="D5" s="14"/>
    </row>
    <row r="6" spans="1:4" s="81" customFormat="1" ht="13.5" x14ac:dyDescent="0.2">
      <c r="A6" s="5" t="s">
        <v>27</v>
      </c>
      <c r="B6" s="6">
        <v>1</v>
      </c>
      <c r="C6" s="14" t="s">
        <v>64</v>
      </c>
      <c r="D6" s="122" t="s">
        <v>65</v>
      </c>
    </row>
    <row r="7" spans="1:4" s="81" customFormat="1" ht="27" x14ac:dyDescent="0.2">
      <c r="A7" s="5" t="s">
        <v>38</v>
      </c>
      <c r="B7" s="6">
        <v>3</v>
      </c>
      <c r="C7" s="14" t="s">
        <v>67</v>
      </c>
      <c r="D7" s="122" t="s">
        <v>66</v>
      </c>
    </row>
    <row r="8" spans="1:4" s="81" customFormat="1" ht="13.5" x14ac:dyDescent="0.2">
      <c r="A8" s="5"/>
      <c r="B8" s="6"/>
      <c r="C8" s="14"/>
      <c r="D8" s="14"/>
    </row>
    <row r="9" spans="1:4" s="81" customFormat="1" ht="13.5" x14ac:dyDescent="0.2">
      <c r="A9" s="5" t="s">
        <v>21</v>
      </c>
      <c r="B9" s="6">
        <v>2</v>
      </c>
      <c r="C9" s="14" t="s">
        <v>73</v>
      </c>
      <c r="D9" s="122"/>
    </row>
    <row r="10" spans="1:4" s="81" customFormat="1" ht="13.5" x14ac:dyDescent="0.2">
      <c r="A10" s="5" t="s">
        <v>29</v>
      </c>
      <c r="B10" s="6">
        <v>4</v>
      </c>
      <c r="C10" s="14" t="s">
        <v>69</v>
      </c>
      <c r="D10" s="122" t="s">
        <v>70</v>
      </c>
    </row>
    <row r="11" spans="1:4" s="81" customFormat="1" ht="27" x14ac:dyDescent="0.2">
      <c r="A11" s="5" t="s">
        <v>28</v>
      </c>
      <c r="B11" s="6">
        <v>2</v>
      </c>
      <c r="C11" s="14" t="s">
        <v>74</v>
      </c>
      <c r="D11" s="14"/>
    </row>
    <row r="12" spans="1:4" s="81" customFormat="1" ht="27" x14ac:dyDescent="0.2">
      <c r="A12" s="5" t="s">
        <v>29</v>
      </c>
      <c r="B12" s="6">
        <v>2</v>
      </c>
      <c r="C12" s="14" t="s">
        <v>72</v>
      </c>
      <c r="D12" s="122" t="s">
        <v>71</v>
      </c>
    </row>
    <row r="13" spans="1:4" s="81" customFormat="1" ht="14.25" thickBot="1" x14ac:dyDescent="0.25">
      <c r="A13" s="6" t="s">
        <v>38</v>
      </c>
      <c r="B13" s="6">
        <v>2</v>
      </c>
      <c r="C13" s="14" t="s">
        <v>75</v>
      </c>
      <c r="D13" s="14"/>
    </row>
    <row r="14" spans="1:4" s="81" customFormat="1" ht="13.5" x14ac:dyDescent="0.2">
      <c r="A14" s="108"/>
      <c r="B14" s="109"/>
      <c r="C14" s="110" t="s">
        <v>48</v>
      </c>
      <c r="D14" s="121"/>
    </row>
    <row r="15" spans="1:4" s="81" customFormat="1" ht="54" x14ac:dyDescent="0.2">
      <c r="A15" s="79" t="s">
        <v>28</v>
      </c>
      <c r="B15" s="79">
        <v>4</v>
      </c>
      <c r="C15" s="80" t="s">
        <v>78</v>
      </c>
      <c r="D15" s="126" t="s">
        <v>77</v>
      </c>
    </row>
    <row r="16" spans="1:4" s="81" customFormat="1" ht="27" x14ac:dyDescent="0.2">
      <c r="A16" s="79" t="s">
        <v>28</v>
      </c>
      <c r="B16" s="79">
        <v>3</v>
      </c>
      <c r="C16" s="80" t="s">
        <v>76</v>
      </c>
      <c r="D16" s="126" t="s">
        <v>90</v>
      </c>
    </row>
    <row r="17" spans="1:4" s="81" customFormat="1" ht="13.5" x14ac:dyDescent="0.2">
      <c r="A17" s="79" t="s">
        <v>29</v>
      </c>
      <c r="B17" s="79">
        <v>2</v>
      </c>
      <c r="C17" s="80" t="s">
        <v>79</v>
      </c>
      <c r="D17" s="126" t="s">
        <v>89</v>
      </c>
    </row>
    <row r="18" spans="1:4" s="81" customFormat="1" ht="27" x14ac:dyDescent="0.2">
      <c r="A18" s="79" t="s">
        <v>28</v>
      </c>
      <c r="B18" s="79">
        <v>2</v>
      </c>
      <c r="C18" s="80" t="s">
        <v>81</v>
      </c>
      <c r="D18" s="80"/>
    </row>
    <row r="19" spans="1:4" s="81" customFormat="1" ht="13.5" x14ac:dyDescent="0.2">
      <c r="A19" s="79" t="s">
        <v>38</v>
      </c>
      <c r="B19" s="79">
        <v>1</v>
      </c>
      <c r="C19" s="80" t="s">
        <v>80</v>
      </c>
      <c r="D19" s="80"/>
    </row>
    <row r="20" spans="1:4" s="81" customFormat="1" ht="13.5" x14ac:dyDescent="0.2">
      <c r="A20" s="123"/>
      <c r="B20" s="123"/>
      <c r="C20" s="124" t="s">
        <v>49</v>
      </c>
      <c r="D20" s="125"/>
    </row>
    <row r="21" spans="1:4" s="81" customFormat="1" ht="27" x14ac:dyDescent="0.2">
      <c r="A21" s="79" t="s">
        <v>28</v>
      </c>
      <c r="B21" s="79">
        <v>2</v>
      </c>
      <c r="C21" s="80" t="s">
        <v>82</v>
      </c>
      <c r="D21" s="80"/>
    </row>
    <row r="22" spans="1:4" s="81" customFormat="1" ht="27" x14ac:dyDescent="0.2">
      <c r="A22" s="79" t="s">
        <v>28</v>
      </c>
      <c r="B22" s="79">
        <v>3</v>
      </c>
      <c r="C22" s="80" t="s">
        <v>83</v>
      </c>
      <c r="D22" s="80" t="s">
        <v>84</v>
      </c>
    </row>
    <row r="23" spans="1:4" s="81" customFormat="1" ht="27" x14ac:dyDescent="0.2">
      <c r="A23" s="79" t="s">
        <v>28</v>
      </c>
      <c r="B23" s="79">
        <v>3</v>
      </c>
      <c r="C23" s="80" t="s">
        <v>86</v>
      </c>
      <c r="D23" s="126" t="s">
        <v>85</v>
      </c>
    </row>
    <row r="24" spans="1:4" s="81" customFormat="1" ht="40.5" x14ac:dyDescent="0.2">
      <c r="A24" s="79" t="s">
        <v>28</v>
      </c>
      <c r="B24" s="79">
        <v>3</v>
      </c>
      <c r="C24" s="80" t="s">
        <v>87</v>
      </c>
      <c r="D24" s="80"/>
    </row>
    <row r="25" spans="1:4" s="81" customFormat="1" ht="38.25" x14ac:dyDescent="0.2">
      <c r="A25" s="79" t="s">
        <v>29</v>
      </c>
      <c r="B25" s="79">
        <v>3</v>
      </c>
      <c r="C25" s="80" t="s">
        <v>91</v>
      </c>
      <c r="D25" s="127" t="s">
        <v>92</v>
      </c>
    </row>
    <row r="26" spans="1:4" s="81" customFormat="1" ht="13.5" x14ac:dyDescent="0.2">
      <c r="A26" s="79" t="s">
        <v>38</v>
      </c>
      <c r="B26" s="79">
        <v>1</v>
      </c>
      <c r="C26" s="80" t="s">
        <v>88</v>
      </c>
      <c r="D26" s="80"/>
    </row>
    <row r="27" spans="1:4" s="81" customFormat="1" ht="13.5" x14ac:dyDescent="0.2">
      <c r="A27" s="79"/>
      <c r="B27" s="79"/>
      <c r="C27" s="80"/>
      <c r="D27" s="80"/>
    </row>
    <row r="28" spans="1:4" s="81" customFormat="1" ht="27" x14ac:dyDescent="0.2">
      <c r="A28" s="79" t="s">
        <v>28</v>
      </c>
      <c r="B28" s="79">
        <v>4</v>
      </c>
      <c r="C28" s="80" t="s">
        <v>93</v>
      </c>
      <c r="D28" s="80"/>
    </row>
    <row r="29" spans="1:4" s="81" customFormat="1" ht="27" x14ac:dyDescent="0.2">
      <c r="A29" s="79" t="s">
        <v>28</v>
      </c>
      <c r="B29" s="79">
        <v>3</v>
      </c>
      <c r="C29" s="80" t="s">
        <v>94</v>
      </c>
      <c r="D29" s="80"/>
    </row>
    <row r="30" spans="1:4" s="81" customFormat="1" ht="13.5" x14ac:dyDescent="0.2">
      <c r="A30" s="79" t="s">
        <v>96</v>
      </c>
      <c r="B30" s="79">
        <v>5</v>
      </c>
      <c r="C30" s="80" t="s">
        <v>95</v>
      </c>
      <c r="D30" s="80"/>
    </row>
    <row r="31" spans="1:4" s="81" customFormat="1" ht="13.5" x14ac:dyDescent="0.2">
      <c r="A31" s="123"/>
      <c r="B31" s="123"/>
      <c r="C31" s="124" t="s">
        <v>50</v>
      </c>
      <c r="D31" s="125"/>
    </row>
    <row r="32" spans="1:4" s="81" customFormat="1" ht="13.5" x14ac:dyDescent="0.2">
      <c r="A32" s="79" t="s">
        <v>21</v>
      </c>
      <c r="B32" s="79">
        <v>1</v>
      </c>
      <c r="C32" s="80" t="s">
        <v>97</v>
      </c>
      <c r="D32" s="80"/>
    </row>
    <row r="33" spans="1:4" s="81" customFormat="1" ht="40.5" x14ac:dyDescent="0.2">
      <c r="A33" s="79" t="s">
        <v>29</v>
      </c>
      <c r="B33" s="79">
        <v>5</v>
      </c>
      <c r="C33" s="80" t="s">
        <v>98</v>
      </c>
      <c r="D33" s="80"/>
    </row>
    <row r="34" spans="1:4" s="81" customFormat="1" ht="51" x14ac:dyDescent="0.2">
      <c r="A34" s="79" t="s">
        <v>29</v>
      </c>
      <c r="B34" s="79">
        <v>6</v>
      </c>
      <c r="C34" s="80" t="s">
        <v>99</v>
      </c>
      <c r="D34" s="126" t="s">
        <v>101</v>
      </c>
    </row>
    <row r="35" spans="1:4" s="81" customFormat="1" ht="27" x14ac:dyDescent="0.2">
      <c r="A35" s="79" t="s">
        <v>28</v>
      </c>
      <c r="B35" s="79">
        <v>2</v>
      </c>
      <c r="C35" s="80" t="s">
        <v>102</v>
      </c>
      <c r="D35" s="80"/>
    </row>
    <row r="36" spans="1:4" s="81" customFormat="1" ht="13.5" x14ac:dyDescent="0.2">
      <c r="A36" s="79" t="s">
        <v>38</v>
      </c>
      <c r="B36" s="79">
        <v>1</v>
      </c>
      <c r="C36" s="80" t="s">
        <v>100</v>
      </c>
      <c r="D36" s="80"/>
    </row>
    <row r="37" spans="1:4" s="81" customFormat="1" ht="13.5" x14ac:dyDescent="0.2">
      <c r="A37" s="79"/>
      <c r="B37" s="79"/>
      <c r="C37" s="80"/>
      <c r="D37" s="80"/>
    </row>
    <row r="38" spans="1:4" s="81" customFormat="1" ht="25.5" x14ac:dyDescent="0.2">
      <c r="A38" s="79" t="s">
        <v>29</v>
      </c>
      <c r="B38" s="79">
        <v>2</v>
      </c>
      <c r="C38" s="80" t="s">
        <v>103</v>
      </c>
      <c r="D38" s="126" t="s">
        <v>106</v>
      </c>
    </row>
    <row r="39" spans="1:4" s="81" customFormat="1" ht="27" x14ac:dyDescent="0.2">
      <c r="A39" s="79" t="s">
        <v>54</v>
      </c>
      <c r="B39" s="79">
        <v>2</v>
      </c>
      <c r="C39" s="80" t="s">
        <v>104</v>
      </c>
      <c r="D39" s="80"/>
    </row>
    <row r="40" spans="1:4" s="81" customFormat="1" ht="27" x14ac:dyDescent="0.2">
      <c r="A40" s="79" t="s">
        <v>54</v>
      </c>
      <c r="B40" s="79">
        <v>2</v>
      </c>
      <c r="C40" s="80" t="s">
        <v>105</v>
      </c>
      <c r="D40" s="80" t="s">
        <v>107</v>
      </c>
    </row>
    <row r="41" spans="1:4" s="81" customFormat="1" ht="27" x14ac:dyDescent="0.2">
      <c r="A41" s="79" t="s">
        <v>54</v>
      </c>
      <c r="B41" s="79">
        <v>5</v>
      </c>
      <c r="C41" s="80" t="s">
        <v>110</v>
      </c>
      <c r="D41" s="80"/>
    </row>
    <row r="42" spans="1:4" s="81" customFormat="1" ht="13.5" x14ac:dyDescent="0.2">
      <c r="A42" s="79" t="s">
        <v>38</v>
      </c>
      <c r="B42" s="79">
        <v>1</v>
      </c>
      <c r="C42" s="80" t="s">
        <v>108</v>
      </c>
      <c r="D42" s="80"/>
    </row>
    <row r="43" spans="1:4" s="81" customFormat="1" ht="14.25" thickBot="1" x14ac:dyDescent="0.25">
      <c r="A43" s="7"/>
      <c r="B43" s="7"/>
      <c r="C43" s="15"/>
      <c r="D43" s="15"/>
    </row>
    <row r="44" spans="1:4" ht="14.25" thickBot="1" x14ac:dyDescent="0.25">
      <c r="A44" s="76" t="s">
        <v>22</v>
      </c>
      <c r="B44" s="76">
        <f>SUM(B3:B43)</f>
        <v>90</v>
      </c>
      <c r="C44" s="83" t="s">
        <v>39</v>
      </c>
      <c r="D44" s="77"/>
    </row>
    <row r="45" spans="1:4" ht="15" thickBot="1" x14ac:dyDescent="0.35">
      <c r="A45" s="78"/>
      <c r="B45" s="78"/>
      <c r="C45" s="78"/>
      <c r="D45" s="78"/>
    </row>
    <row r="46" spans="1:4" ht="18.75" thickBot="1" x14ac:dyDescent="0.25">
      <c r="A46" s="71" t="s">
        <v>14</v>
      </c>
      <c r="B46" s="72">
        <v>2</v>
      </c>
      <c r="C46" s="73" t="s">
        <v>23</v>
      </c>
      <c r="D46" s="82">
        <v>42891</v>
      </c>
    </row>
    <row r="47" spans="1:4" ht="27.75" thickBot="1" x14ac:dyDescent="0.25">
      <c r="A47" s="74" t="s">
        <v>3</v>
      </c>
      <c r="B47" s="75" t="s">
        <v>15</v>
      </c>
      <c r="C47" s="74" t="s">
        <v>7</v>
      </c>
      <c r="D47" s="74" t="s">
        <v>13</v>
      </c>
    </row>
    <row r="48" spans="1:4" ht="13.5" x14ac:dyDescent="0.2">
      <c r="A48" s="108"/>
      <c r="B48" s="109"/>
      <c r="C48" s="110" t="s">
        <v>52</v>
      </c>
      <c r="D48" s="121"/>
    </row>
    <row r="49" spans="1:9" ht="14.25" thickBot="1" x14ac:dyDescent="0.25">
      <c r="A49" s="5" t="s">
        <v>21</v>
      </c>
      <c r="B49" s="6">
        <v>24</v>
      </c>
      <c r="C49" s="14" t="s">
        <v>109</v>
      </c>
      <c r="D49" s="14"/>
    </row>
    <row r="50" spans="1:9" ht="13.5" x14ac:dyDescent="0.2">
      <c r="A50" s="108"/>
      <c r="B50" s="109"/>
      <c r="C50" s="110" t="s">
        <v>48</v>
      </c>
      <c r="D50" s="121"/>
      <c r="E50" s="37"/>
      <c r="F50" s="37"/>
      <c r="G50" s="37"/>
      <c r="H50" s="37"/>
      <c r="I50" s="37"/>
    </row>
    <row r="51" spans="1:9" ht="12.75" customHeight="1" x14ac:dyDescent="0.2">
      <c r="A51" s="5" t="s">
        <v>54</v>
      </c>
      <c r="B51" s="6">
        <v>6</v>
      </c>
      <c r="C51" s="14" t="s">
        <v>113</v>
      </c>
      <c r="D51" s="122"/>
      <c r="E51" s="37"/>
      <c r="F51" s="54"/>
      <c r="G51" s="55"/>
      <c r="H51" s="56"/>
      <c r="I51" s="37"/>
    </row>
    <row r="52" spans="1:9" ht="27" x14ac:dyDescent="0.2">
      <c r="A52" s="5" t="s">
        <v>54</v>
      </c>
      <c r="B52" s="6">
        <v>5</v>
      </c>
      <c r="C52" s="14" t="s">
        <v>112</v>
      </c>
      <c r="D52" s="122" t="s">
        <v>111</v>
      </c>
      <c r="E52" s="37"/>
      <c r="F52" s="57"/>
      <c r="G52" s="53"/>
      <c r="H52" s="53"/>
      <c r="I52" s="37"/>
    </row>
    <row r="53" spans="1:9" ht="14.25" thickBot="1" x14ac:dyDescent="0.25">
      <c r="A53" s="5" t="s">
        <v>38</v>
      </c>
      <c r="B53" s="6">
        <v>1</v>
      </c>
      <c r="C53" s="14" t="s">
        <v>80</v>
      </c>
      <c r="D53" s="14"/>
      <c r="E53" s="37"/>
      <c r="F53" s="59"/>
      <c r="G53" s="60"/>
      <c r="H53" s="60"/>
      <c r="I53" s="37"/>
    </row>
    <row r="54" spans="1:9" ht="13.5" x14ac:dyDescent="0.2">
      <c r="A54" s="108"/>
      <c r="B54" s="109"/>
      <c r="C54" s="110" t="s">
        <v>49</v>
      </c>
      <c r="D54" s="121"/>
      <c r="E54" s="37"/>
      <c r="F54" s="59"/>
      <c r="G54" s="60"/>
      <c r="H54" s="60"/>
      <c r="I54" s="37"/>
    </row>
    <row r="55" spans="1:9" ht="27" x14ac:dyDescent="0.2">
      <c r="A55" s="5" t="s">
        <v>54</v>
      </c>
      <c r="B55" s="6">
        <v>3</v>
      </c>
      <c r="C55" s="14" t="s">
        <v>114</v>
      </c>
      <c r="D55" s="14"/>
      <c r="E55" s="37"/>
      <c r="F55" s="59"/>
      <c r="G55" s="60"/>
      <c r="H55" s="60"/>
      <c r="I55" s="37"/>
    </row>
    <row r="56" spans="1:9" ht="27" x14ac:dyDescent="0.2">
      <c r="A56" s="5" t="s">
        <v>54</v>
      </c>
      <c r="B56" s="6">
        <v>11</v>
      </c>
      <c r="C56" s="14" t="s">
        <v>116</v>
      </c>
      <c r="D56" s="122" t="s">
        <v>115</v>
      </c>
      <c r="E56" s="37"/>
      <c r="F56" s="59"/>
      <c r="G56" s="60"/>
      <c r="H56" s="60"/>
      <c r="I56" s="37"/>
    </row>
    <row r="57" spans="1:9" ht="13.5" x14ac:dyDescent="0.2">
      <c r="A57" s="6" t="s">
        <v>38</v>
      </c>
      <c r="B57" s="6">
        <v>1</v>
      </c>
      <c r="C57" s="14" t="s">
        <v>80</v>
      </c>
      <c r="D57" s="14"/>
      <c r="E57" s="37"/>
      <c r="F57" s="59"/>
      <c r="G57" s="60"/>
      <c r="H57" s="60"/>
      <c r="I57" s="37"/>
    </row>
    <row r="58" spans="1:9" ht="13.5" x14ac:dyDescent="0.2">
      <c r="A58" s="6"/>
      <c r="B58" s="6"/>
      <c r="C58" s="14"/>
      <c r="D58" s="14"/>
      <c r="E58" s="37"/>
      <c r="F58" s="59"/>
      <c r="G58" s="60"/>
      <c r="H58" s="60"/>
      <c r="I58" s="37"/>
    </row>
    <row r="59" spans="1:9" ht="27" x14ac:dyDescent="0.2">
      <c r="A59" s="6" t="s">
        <v>54</v>
      </c>
      <c r="B59" s="6">
        <v>2</v>
      </c>
      <c r="C59" s="14" t="s">
        <v>117</v>
      </c>
      <c r="D59" s="122" t="s">
        <v>118</v>
      </c>
      <c r="E59" s="37"/>
      <c r="F59" s="59"/>
      <c r="G59" s="60"/>
      <c r="H59" s="60"/>
      <c r="I59" s="37"/>
    </row>
    <row r="60" spans="1:9" ht="40.5" x14ac:dyDescent="0.2">
      <c r="A60" s="79" t="s">
        <v>54</v>
      </c>
      <c r="B60" s="79">
        <v>2</v>
      </c>
      <c r="C60" s="80" t="s">
        <v>119</v>
      </c>
      <c r="D60" s="80"/>
      <c r="E60" s="37"/>
      <c r="F60" s="59"/>
      <c r="G60" s="60"/>
      <c r="H60" s="60"/>
      <c r="I60" s="37"/>
    </row>
    <row r="61" spans="1:9" ht="27" x14ac:dyDescent="0.2">
      <c r="A61" s="79" t="s">
        <v>54</v>
      </c>
      <c r="B61" s="79">
        <v>2</v>
      </c>
      <c r="C61" s="80" t="s">
        <v>120</v>
      </c>
      <c r="D61" s="80"/>
      <c r="E61" s="37"/>
      <c r="F61" s="61"/>
      <c r="G61" s="62"/>
      <c r="H61" s="62"/>
      <c r="I61" s="37"/>
    </row>
    <row r="62" spans="1:9" ht="40.5" x14ac:dyDescent="0.2">
      <c r="A62" s="79" t="s">
        <v>30</v>
      </c>
      <c r="B62" s="79">
        <v>3</v>
      </c>
      <c r="C62" s="80" t="s">
        <v>123</v>
      </c>
      <c r="D62" s="126" t="s">
        <v>126</v>
      </c>
      <c r="E62" s="37"/>
      <c r="F62" s="61"/>
      <c r="G62" s="62"/>
      <c r="H62" s="62"/>
      <c r="I62" s="37"/>
    </row>
    <row r="63" spans="1:9" ht="40.5" x14ac:dyDescent="0.2">
      <c r="A63" s="79" t="s">
        <v>30</v>
      </c>
      <c r="B63" s="79">
        <v>2</v>
      </c>
      <c r="C63" s="80" t="s">
        <v>121</v>
      </c>
      <c r="D63" s="80"/>
      <c r="E63" s="37"/>
      <c r="F63" s="61"/>
      <c r="G63" s="62"/>
      <c r="H63" s="62"/>
      <c r="I63" s="37"/>
    </row>
    <row r="64" spans="1:9" ht="15" thickBot="1" x14ac:dyDescent="0.35">
      <c r="A64" s="137" t="s">
        <v>38</v>
      </c>
      <c r="B64" s="79">
        <v>1</v>
      </c>
      <c r="C64" s="138" t="s">
        <v>122</v>
      </c>
      <c r="D64" s="80"/>
      <c r="E64" s="37"/>
      <c r="F64" s="63"/>
      <c r="G64" s="63"/>
      <c r="H64" s="63"/>
      <c r="I64" s="37"/>
    </row>
    <row r="65" spans="1:9" ht="14.25" x14ac:dyDescent="0.3">
      <c r="A65" s="108"/>
      <c r="B65" s="109"/>
      <c r="C65" s="110" t="s">
        <v>50</v>
      </c>
      <c r="D65" s="121"/>
      <c r="E65" s="37"/>
      <c r="F65" s="63"/>
      <c r="G65" s="63"/>
      <c r="H65" s="63"/>
      <c r="I65" s="37"/>
    </row>
    <row r="66" spans="1:9" ht="67.5" x14ac:dyDescent="0.3">
      <c r="A66" s="135" t="s">
        <v>30</v>
      </c>
      <c r="B66" s="134">
        <v>6</v>
      </c>
      <c r="C66" s="132" t="s">
        <v>124</v>
      </c>
      <c r="D66" s="131" t="s">
        <v>125</v>
      </c>
      <c r="E66" s="37"/>
      <c r="F66" s="63"/>
      <c r="G66" s="63"/>
      <c r="H66" s="63"/>
      <c r="I66" s="37"/>
    </row>
    <row r="67" spans="1:9" ht="54" x14ac:dyDescent="0.3">
      <c r="A67" s="135" t="s">
        <v>30</v>
      </c>
      <c r="B67" s="134">
        <v>5</v>
      </c>
      <c r="C67" s="132" t="s">
        <v>127</v>
      </c>
      <c r="D67" s="140" t="s">
        <v>128</v>
      </c>
      <c r="E67" s="37"/>
      <c r="F67" s="63"/>
      <c r="G67" s="63"/>
      <c r="H67" s="63"/>
      <c r="I67" s="37"/>
    </row>
    <row r="68" spans="1:9" ht="14.25" x14ac:dyDescent="0.3">
      <c r="A68" s="135" t="s">
        <v>30</v>
      </c>
      <c r="B68" s="134">
        <v>3</v>
      </c>
      <c r="C68" s="132" t="s">
        <v>129</v>
      </c>
      <c r="D68" s="131"/>
      <c r="E68" s="37"/>
      <c r="F68" s="63"/>
      <c r="G68" s="63"/>
      <c r="H68" s="63"/>
      <c r="I68" s="37"/>
    </row>
    <row r="69" spans="1:9" ht="14.25" x14ac:dyDescent="0.3">
      <c r="A69" s="135" t="s">
        <v>38</v>
      </c>
      <c r="B69" s="134">
        <v>1</v>
      </c>
      <c r="C69" s="132" t="s">
        <v>122</v>
      </c>
      <c r="D69" s="131"/>
      <c r="E69" s="37"/>
      <c r="F69" s="63"/>
      <c r="G69" s="63"/>
      <c r="H69" s="63"/>
      <c r="I69" s="37"/>
    </row>
    <row r="70" spans="1:9" ht="14.25" x14ac:dyDescent="0.3">
      <c r="A70" s="141"/>
      <c r="B70" s="142"/>
      <c r="C70" s="143"/>
      <c r="D70" s="144"/>
      <c r="E70" s="37"/>
      <c r="F70" s="63"/>
      <c r="G70" s="63"/>
      <c r="H70" s="63"/>
      <c r="I70" s="37"/>
    </row>
    <row r="71" spans="1:9" ht="27" x14ac:dyDescent="0.3">
      <c r="A71" s="141" t="s">
        <v>57</v>
      </c>
      <c r="B71" s="142">
        <v>4</v>
      </c>
      <c r="C71" s="143" t="s">
        <v>130</v>
      </c>
      <c r="D71" s="144"/>
      <c r="E71" s="37"/>
      <c r="F71" s="63"/>
      <c r="G71" s="63"/>
      <c r="H71" s="63"/>
      <c r="I71" s="37"/>
    </row>
    <row r="72" spans="1:9" ht="67.5" x14ac:dyDescent="0.3">
      <c r="A72" s="141" t="s">
        <v>30</v>
      </c>
      <c r="B72" s="142">
        <v>7</v>
      </c>
      <c r="C72" s="143" t="s">
        <v>131</v>
      </c>
      <c r="D72" s="144"/>
      <c r="E72" s="37"/>
      <c r="F72" s="63"/>
      <c r="G72" s="63"/>
      <c r="H72" s="63"/>
      <c r="I72" s="37"/>
    </row>
    <row r="73" spans="1:9" ht="14.25" x14ac:dyDescent="0.3">
      <c r="A73" s="141" t="s">
        <v>38</v>
      </c>
      <c r="B73" s="142">
        <v>1</v>
      </c>
      <c r="C73" s="143" t="s">
        <v>122</v>
      </c>
      <c r="D73" s="144"/>
      <c r="E73" s="37"/>
      <c r="F73" s="63"/>
      <c r="G73" s="63"/>
      <c r="H73" s="63"/>
      <c r="I73" s="37"/>
    </row>
    <row r="74" spans="1:9" ht="15" thickBot="1" x14ac:dyDescent="0.35">
      <c r="A74" s="136"/>
      <c r="B74" s="136"/>
      <c r="C74" s="133"/>
      <c r="D74" s="139"/>
      <c r="E74" s="37"/>
      <c r="F74" s="63"/>
      <c r="G74" s="63"/>
      <c r="H74" s="63"/>
      <c r="I74" s="37"/>
    </row>
    <row r="75" spans="1:9" ht="14.25" thickBot="1" x14ac:dyDescent="0.25">
      <c r="A75" s="128" t="s">
        <v>22</v>
      </c>
      <c r="B75" s="128">
        <f>SUM(B48:B74)</f>
        <v>90</v>
      </c>
      <c r="C75" s="129" t="s">
        <v>39</v>
      </c>
      <c r="D75" s="130"/>
      <c r="E75" s="37"/>
      <c r="F75" s="37"/>
      <c r="G75" s="37"/>
      <c r="H75" s="37"/>
      <c r="I75" s="37"/>
    </row>
    <row r="76" spans="1:9" ht="15" thickBot="1" x14ac:dyDescent="0.35">
      <c r="A76" s="78"/>
      <c r="B76" s="78"/>
      <c r="C76" s="78"/>
      <c r="D76" s="78"/>
      <c r="E76" s="37"/>
      <c r="F76" s="37"/>
      <c r="G76" s="37"/>
      <c r="H76" s="37"/>
      <c r="I76" s="37"/>
    </row>
    <row r="77" spans="1:9" ht="18.75" thickBot="1" x14ac:dyDescent="0.25">
      <c r="A77" s="71" t="s">
        <v>14</v>
      </c>
      <c r="B77" s="72">
        <v>3</v>
      </c>
      <c r="C77" s="73" t="s">
        <v>23</v>
      </c>
      <c r="D77" s="82">
        <v>42898</v>
      </c>
      <c r="E77" s="37"/>
      <c r="F77" s="37"/>
      <c r="G77" s="37"/>
      <c r="H77" s="37"/>
      <c r="I77" s="37"/>
    </row>
    <row r="78" spans="1:9" ht="27.75" thickBot="1" x14ac:dyDescent="0.25">
      <c r="A78" s="74" t="s">
        <v>3</v>
      </c>
      <c r="B78" s="75" t="s">
        <v>15</v>
      </c>
      <c r="C78" s="74" t="s">
        <v>7</v>
      </c>
      <c r="D78" s="74" t="s">
        <v>13</v>
      </c>
    </row>
    <row r="79" spans="1:9" ht="13.5" x14ac:dyDescent="0.2">
      <c r="A79" s="108"/>
      <c r="B79" s="109"/>
      <c r="C79" s="110" t="s">
        <v>52</v>
      </c>
      <c r="D79" s="121"/>
    </row>
    <row r="80" spans="1:9" ht="40.5" x14ac:dyDescent="0.2">
      <c r="A80" s="5" t="s">
        <v>30</v>
      </c>
      <c r="B80" s="6">
        <v>2</v>
      </c>
      <c r="C80" s="14" t="s">
        <v>133</v>
      </c>
      <c r="D80" s="122" t="s">
        <v>132</v>
      </c>
    </row>
    <row r="81" spans="1:4" ht="67.5" x14ac:dyDescent="0.2">
      <c r="A81" s="5" t="s">
        <v>30</v>
      </c>
      <c r="B81" s="6">
        <v>2</v>
      </c>
      <c r="C81" s="14" t="s">
        <v>134</v>
      </c>
      <c r="D81" s="14"/>
    </row>
    <row r="82" spans="1:4" ht="94.5" x14ac:dyDescent="0.2">
      <c r="A82" s="5" t="s">
        <v>30</v>
      </c>
      <c r="B82" s="6">
        <v>2</v>
      </c>
      <c r="C82" s="14" t="s">
        <v>136</v>
      </c>
      <c r="D82" s="14" t="s">
        <v>135</v>
      </c>
    </row>
    <row r="83" spans="1:4" ht="13.5" x14ac:dyDescent="0.2">
      <c r="A83" s="5" t="s">
        <v>21</v>
      </c>
      <c r="B83" s="6">
        <v>6</v>
      </c>
      <c r="C83" s="14" t="s">
        <v>137</v>
      </c>
      <c r="D83" s="14"/>
    </row>
    <row r="84" spans="1:4" ht="13.5" x14ac:dyDescent="0.2">
      <c r="A84" s="5"/>
      <c r="B84" s="6"/>
      <c r="C84" s="14"/>
      <c r="D84" s="14"/>
    </row>
    <row r="85" spans="1:4" ht="13.5" x14ac:dyDescent="0.2">
      <c r="A85" s="5" t="s">
        <v>38</v>
      </c>
      <c r="B85" s="6">
        <v>2</v>
      </c>
      <c r="C85" s="14" t="s">
        <v>142</v>
      </c>
      <c r="D85" s="14"/>
    </row>
    <row r="86" spans="1:4" ht="108" x14ac:dyDescent="0.2">
      <c r="A86" s="5" t="s">
        <v>30</v>
      </c>
      <c r="B86" s="6">
        <v>4</v>
      </c>
      <c r="C86" s="14" t="s">
        <v>139</v>
      </c>
      <c r="D86" s="14" t="s">
        <v>138</v>
      </c>
    </row>
    <row r="87" spans="1:4" ht="27" x14ac:dyDescent="0.2">
      <c r="A87" s="5" t="s">
        <v>30</v>
      </c>
      <c r="B87" s="6">
        <v>3</v>
      </c>
      <c r="C87" s="14" t="s">
        <v>141</v>
      </c>
      <c r="D87" s="14"/>
    </row>
    <row r="88" spans="1:4" ht="14.25" thickBot="1" x14ac:dyDescent="0.25">
      <c r="A88" s="6" t="s">
        <v>21</v>
      </c>
      <c r="B88" s="6">
        <v>3</v>
      </c>
      <c r="C88" s="14" t="s">
        <v>140</v>
      </c>
      <c r="D88" s="14"/>
    </row>
    <row r="89" spans="1:4" ht="13.5" x14ac:dyDescent="0.2">
      <c r="A89" s="108"/>
      <c r="B89" s="109"/>
      <c r="C89" s="110" t="s">
        <v>48</v>
      </c>
      <c r="D89" s="121"/>
    </row>
    <row r="90" spans="1:4" ht="27" x14ac:dyDescent="0.2">
      <c r="A90" s="6" t="s">
        <v>30</v>
      </c>
      <c r="B90" s="6">
        <v>3</v>
      </c>
      <c r="C90" s="14" t="s">
        <v>143</v>
      </c>
      <c r="D90" s="14"/>
    </row>
    <row r="91" spans="1:4" ht="67.5" x14ac:dyDescent="0.2">
      <c r="A91" s="79" t="s">
        <v>30</v>
      </c>
      <c r="B91" s="79">
        <v>6</v>
      </c>
      <c r="C91" s="80" t="s">
        <v>144</v>
      </c>
      <c r="D91" s="80"/>
    </row>
    <row r="92" spans="1:4" ht="27" x14ac:dyDescent="0.2">
      <c r="A92" s="79" t="s">
        <v>54</v>
      </c>
      <c r="B92" s="79">
        <v>2</v>
      </c>
      <c r="C92" s="80" t="s">
        <v>145</v>
      </c>
      <c r="D92" s="80"/>
    </row>
    <row r="93" spans="1:4" ht="14.25" thickBot="1" x14ac:dyDescent="0.25">
      <c r="A93" s="79" t="s">
        <v>38</v>
      </c>
      <c r="B93" s="79">
        <v>1</v>
      </c>
      <c r="C93" s="80" t="s">
        <v>122</v>
      </c>
      <c r="D93" s="80"/>
    </row>
    <row r="94" spans="1:4" ht="13.5" x14ac:dyDescent="0.2">
      <c r="A94" s="108"/>
      <c r="B94" s="109"/>
      <c r="C94" s="110" t="s">
        <v>49</v>
      </c>
      <c r="D94" s="121"/>
    </row>
    <row r="95" spans="1:4" ht="13.5" x14ac:dyDescent="0.2">
      <c r="A95" s="79" t="s">
        <v>27</v>
      </c>
      <c r="B95" s="79">
        <v>6</v>
      </c>
      <c r="C95" s="80" t="s">
        <v>146</v>
      </c>
      <c r="D95" s="80"/>
    </row>
    <row r="96" spans="1:4" ht="13.5" x14ac:dyDescent="0.2">
      <c r="A96" s="79" t="s">
        <v>45</v>
      </c>
      <c r="B96" s="79">
        <v>6</v>
      </c>
      <c r="C96" s="80" t="s">
        <v>148</v>
      </c>
      <c r="D96" s="80"/>
    </row>
    <row r="97" spans="1:4" ht="13.5" x14ac:dyDescent="0.2">
      <c r="A97" s="79" t="s">
        <v>57</v>
      </c>
      <c r="B97" s="79">
        <v>3</v>
      </c>
      <c r="C97" s="80" t="s">
        <v>147</v>
      </c>
      <c r="D97" s="80"/>
    </row>
    <row r="98" spans="1:4" ht="13.5" x14ac:dyDescent="0.2">
      <c r="A98" s="79"/>
      <c r="B98" s="79"/>
      <c r="C98" s="80"/>
      <c r="D98" s="80"/>
    </row>
    <row r="99" spans="1:4" ht="27" x14ac:dyDescent="0.2">
      <c r="A99" s="79" t="s">
        <v>34</v>
      </c>
      <c r="B99" s="79">
        <v>2</v>
      </c>
      <c r="C99" s="80" t="s">
        <v>149</v>
      </c>
      <c r="D99" s="80"/>
    </row>
    <row r="100" spans="1:4" ht="27" x14ac:dyDescent="0.2">
      <c r="A100" s="79" t="s">
        <v>34</v>
      </c>
      <c r="B100" s="79">
        <v>5</v>
      </c>
      <c r="C100" s="80" t="s">
        <v>150</v>
      </c>
      <c r="D100" s="80"/>
    </row>
    <row r="101" spans="1:4" ht="13.5" x14ac:dyDescent="0.2">
      <c r="A101" s="79" t="s">
        <v>29</v>
      </c>
      <c r="B101" s="79">
        <v>3</v>
      </c>
      <c r="C101" s="80" t="s">
        <v>151</v>
      </c>
      <c r="D101" s="80"/>
    </row>
    <row r="102" spans="1:4" ht="14.25" thickBot="1" x14ac:dyDescent="0.25">
      <c r="A102" s="79" t="s">
        <v>38</v>
      </c>
      <c r="B102" s="79">
        <v>2</v>
      </c>
      <c r="C102" s="80" t="s">
        <v>122</v>
      </c>
      <c r="D102" s="80"/>
    </row>
    <row r="103" spans="1:4" ht="13.5" x14ac:dyDescent="0.2">
      <c r="A103" s="108"/>
      <c r="B103" s="109"/>
      <c r="C103" s="110" t="s">
        <v>50</v>
      </c>
      <c r="D103" s="121"/>
    </row>
    <row r="104" spans="1:4" ht="27" x14ac:dyDescent="0.2">
      <c r="A104" s="79" t="s">
        <v>34</v>
      </c>
      <c r="B104" s="79">
        <v>1</v>
      </c>
      <c r="C104" s="80" t="s">
        <v>152</v>
      </c>
      <c r="D104" s="80"/>
    </row>
    <row r="105" spans="1:4" ht="27" x14ac:dyDescent="0.2">
      <c r="A105" s="79" t="s">
        <v>34</v>
      </c>
      <c r="B105" s="79">
        <v>5</v>
      </c>
      <c r="C105" s="80" t="s">
        <v>153</v>
      </c>
      <c r="D105" s="80"/>
    </row>
    <row r="106" spans="1:4" ht="13.5" x14ac:dyDescent="0.2">
      <c r="A106" s="79" t="s">
        <v>36</v>
      </c>
      <c r="B106" s="79">
        <v>4</v>
      </c>
      <c r="C106" s="80" t="s">
        <v>154</v>
      </c>
      <c r="D106" s="80"/>
    </row>
    <row r="107" spans="1:4" ht="27" x14ac:dyDescent="0.2">
      <c r="A107" s="79" t="s">
        <v>35</v>
      </c>
      <c r="B107" s="79">
        <v>3</v>
      </c>
      <c r="C107" s="80" t="s">
        <v>155</v>
      </c>
      <c r="D107" s="80"/>
    </row>
    <row r="108" spans="1:4" ht="13.5" x14ac:dyDescent="0.2">
      <c r="A108" s="79" t="s">
        <v>38</v>
      </c>
      <c r="B108" s="79">
        <v>1</v>
      </c>
      <c r="C108" s="80" t="s">
        <v>122</v>
      </c>
      <c r="D108" s="80"/>
    </row>
    <row r="109" spans="1:4" ht="27" x14ac:dyDescent="0.2">
      <c r="A109" s="79" t="s">
        <v>21</v>
      </c>
      <c r="B109" s="79">
        <v>1</v>
      </c>
      <c r="C109" s="80" t="s">
        <v>156</v>
      </c>
      <c r="D109" s="80"/>
    </row>
    <row r="110" spans="1:4" ht="13.5" x14ac:dyDescent="0.2">
      <c r="A110" s="79"/>
      <c r="B110" s="79"/>
      <c r="C110" s="80"/>
      <c r="D110" s="80"/>
    </row>
    <row r="111" spans="1:4" ht="27" x14ac:dyDescent="0.2">
      <c r="A111" s="79" t="s">
        <v>35</v>
      </c>
      <c r="B111" s="79">
        <v>5</v>
      </c>
      <c r="C111" s="80" t="s">
        <v>157</v>
      </c>
      <c r="D111" s="80"/>
    </row>
    <row r="112" spans="1:4" ht="27" x14ac:dyDescent="0.2">
      <c r="A112" s="79" t="s">
        <v>33</v>
      </c>
      <c r="B112" s="79">
        <v>5</v>
      </c>
      <c r="C112" s="80" t="s">
        <v>158</v>
      </c>
      <c r="D112" s="80"/>
    </row>
    <row r="113" spans="1:4" ht="14.25" thickBot="1" x14ac:dyDescent="0.25">
      <c r="A113" s="7" t="s">
        <v>38</v>
      </c>
      <c r="B113" s="7">
        <v>2</v>
      </c>
      <c r="C113" s="15" t="s">
        <v>122</v>
      </c>
      <c r="D113" s="15"/>
    </row>
    <row r="114" spans="1:4" ht="14.25" thickBot="1" x14ac:dyDescent="0.25">
      <c r="A114" s="76" t="s">
        <v>22</v>
      </c>
      <c r="B114" s="76">
        <f>SUM(B79:B113)</f>
        <v>90</v>
      </c>
      <c r="C114" s="83" t="s">
        <v>39</v>
      </c>
      <c r="D114" s="77"/>
    </row>
    <row r="115" spans="1:4" ht="15" thickBot="1" x14ac:dyDescent="0.35">
      <c r="A115" s="78"/>
      <c r="B115" s="78"/>
      <c r="C115" s="78"/>
      <c r="D115" s="78"/>
    </row>
    <row r="116" spans="1:4" ht="18.75" thickBot="1" x14ac:dyDescent="0.25">
      <c r="A116" s="71" t="s">
        <v>14</v>
      </c>
      <c r="B116" s="72">
        <v>4</v>
      </c>
      <c r="C116" s="73" t="s">
        <v>23</v>
      </c>
      <c r="D116" s="82">
        <v>42912</v>
      </c>
    </row>
    <row r="117" spans="1:4" ht="27.75" thickBot="1" x14ac:dyDescent="0.25">
      <c r="A117" s="74" t="s">
        <v>3</v>
      </c>
      <c r="B117" s="75" t="s">
        <v>15</v>
      </c>
      <c r="C117" s="74" t="s">
        <v>7</v>
      </c>
      <c r="D117" s="74" t="s">
        <v>13</v>
      </c>
    </row>
    <row r="118" spans="1:4" ht="13.5" x14ac:dyDescent="0.2">
      <c r="A118" s="9"/>
      <c r="B118" s="8"/>
      <c r="C118" s="13"/>
      <c r="D118" s="13"/>
    </row>
    <row r="119" spans="1:4" ht="13.5" x14ac:dyDescent="0.2">
      <c r="A119" s="5"/>
      <c r="B119" s="6"/>
      <c r="C119" s="14"/>
      <c r="D119" s="14"/>
    </row>
    <row r="120" spans="1:4" ht="13.5" x14ac:dyDescent="0.2">
      <c r="A120" s="5"/>
      <c r="B120" s="6"/>
      <c r="C120" s="14"/>
      <c r="D120" s="14"/>
    </row>
    <row r="121" spans="1:4" ht="13.5" x14ac:dyDescent="0.2">
      <c r="A121" s="5"/>
      <c r="B121" s="6"/>
      <c r="C121" s="14"/>
      <c r="D121" s="14"/>
    </row>
    <row r="122" spans="1:4" ht="13.5" x14ac:dyDescent="0.2">
      <c r="A122" s="5"/>
      <c r="B122" s="6"/>
      <c r="C122" s="14"/>
      <c r="D122" s="14"/>
    </row>
    <row r="123" spans="1:4" ht="13.5" x14ac:dyDescent="0.2">
      <c r="A123" s="5"/>
      <c r="B123" s="6"/>
      <c r="C123" s="14"/>
      <c r="D123" s="14"/>
    </row>
    <row r="124" spans="1:4" ht="13.5" x14ac:dyDescent="0.2">
      <c r="A124" s="5"/>
      <c r="B124" s="6"/>
      <c r="C124" s="14"/>
      <c r="D124" s="14"/>
    </row>
    <row r="125" spans="1:4" ht="13.5" x14ac:dyDescent="0.2">
      <c r="A125" s="5"/>
      <c r="B125" s="6"/>
      <c r="C125" s="14"/>
      <c r="D125" s="14"/>
    </row>
    <row r="126" spans="1:4" ht="13.5" x14ac:dyDescent="0.2">
      <c r="A126" s="5"/>
      <c r="B126" s="6"/>
      <c r="C126" s="14"/>
      <c r="D126" s="14"/>
    </row>
    <row r="127" spans="1:4" ht="13.5" x14ac:dyDescent="0.2">
      <c r="A127" s="6"/>
      <c r="B127" s="6"/>
      <c r="C127" s="14"/>
      <c r="D127" s="14"/>
    </row>
    <row r="128" spans="1:4" ht="13.5" x14ac:dyDescent="0.2">
      <c r="A128" s="6"/>
      <c r="B128" s="6"/>
      <c r="C128" s="14"/>
      <c r="D128" s="14"/>
    </row>
    <row r="129" spans="1:4" ht="13.5" x14ac:dyDescent="0.2">
      <c r="A129" s="6"/>
      <c r="B129" s="6"/>
      <c r="C129" s="14"/>
      <c r="D129" s="14"/>
    </row>
    <row r="130" spans="1:4" ht="13.5" x14ac:dyDescent="0.2">
      <c r="A130" s="79"/>
      <c r="B130" s="79"/>
      <c r="C130" s="80"/>
      <c r="D130" s="80"/>
    </row>
    <row r="131" spans="1:4" ht="13.5" x14ac:dyDescent="0.2">
      <c r="A131" s="79"/>
      <c r="B131" s="79"/>
      <c r="C131" s="80"/>
      <c r="D131" s="80"/>
    </row>
    <row r="132" spans="1:4" ht="14.25" thickBot="1" x14ac:dyDescent="0.25">
      <c r="A132" s="7"/>
      <c r="B132" s="7"/>
      <c r="C132" s="15"/>
      <c r="D132" s="15"/>
    </row>
    <row r="133" spans="1:4" ht="14.25" thickBot="1" x14ac:dyDescent="0.25">
      <c r="A133" s="76" t="s">
        <v>22</v>
      </c>
      <c r="B133" s="76">
        <f>SUM(B118:B132)</f>
        <v>0</v>
      </c>
      <c r="C133" s="83" t="s">
        <v>39</v>
      </c>
      <c r="D133" s="77"/>
    </row>
    <row r="134" spans="1:4" ht="14.25" x14ac:dyDescent="0.3">
      <c r="A134" s="78"/>
      <c r="B134" s="78"/>
      <c r="C134" s="78"/>
      <c r="D134" s="78"/>
    </row>
    <row r="135" spans="1:4" x14ac:dyDescent="0.2">
      <c r="A135"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1:F63">
      <formula1>0</formula1>
      <formula2>DureePeriode-1</formula2>
    </dataValidation>
    <dataValidation type="whole" errorStyle="warning" operator="greaterThan" allowBlank="1" showInputMessage="1" showErrorMessage="1" errorTitle="Durée en 1/3 de période" error="Le nombre doit être de type entier" sqref="F53:F60 B118:B132 B3:B43 B48:B74 B79:B11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4 B75 B114 B133">
      <formula1>0</formula1>
      <formula2>NbPerWeek * NbQuartPer</formula2>
    </dataValidation>
    <dataValidation type="list" allowBlank="1" showInputMessage="1" showErrorMessage="1" sqref="A118:A132 A3:A43 A48:A74 A79:A113">
      <formula1>lstTasks</formula1>
    </dataValidation>
  </dataValidations>
  <hyperlinks>
    <hyperlink ref="D4" r:id="rId1"/>
    <hyperlink ref="D6" r:id="rId2"/>
    <hyperlink ref="D10" r:id="rId3"/>
    <hyperlink ref="D23" r:id="rId4"/>
    <hyperlink ref="D16" r:id="rId5"/>
    <hyperlink ref="D15" r:id="rId6"/>
    <hyperlink ref="D17" r:id="rId7"/>
    <hyperlink ref="D34" r:id="rId8" display="https://stackoverflow.com/questions/7478023/how-to-set-background-color-in-the-xml-layout"/>
    <hyperlink ref="D38" r:id="rId9"/>
    <hyperlink ref="D52" r:id="rId10"/>
    <hyperlink ref="D59" r:id="rId11"/>
    <hyperlink ref="D56" r:id="rId12"/>
    <hyperlink ref="D62" r:id="rId13" display="https://material.io/guidelines/style/color.html_x000a_"/>
    <hyperlink ref="D67" r:id="rId14" location="!/?view.left=0&amp;view.right=0" display="https://material.io/color/#!/?view.left=0&amp;view.right=0"/>
    <hyperlink ref="D80" r:id="rId15"/>
    <hyperlink ref="D12" r:id="rId16"/>
  </hyperlinks>
  <printOptions horizontalCentered="1" verticalCentered="1"/>
  <pageMargins left="0.25" right="0.25" top="0.75" bottom="0.75" header="0.3" footer="0.3"/>
  <pageSetup paperSize="9" scale="61" fitToHeight="0" orientation="portrait" cellComments="atEnd" r:id="rId17"/>
  <headerFooter>
    <oddHeader>&amp;L&amp;"ETML L,Normal"&amp;24ETML</oddHeader>
    <oddFooter>&amp;C&amp;F&amp;L&amp;D</oddFooter>
  </headerFooter>
  <drawing r:id="rId18"/>
  <legacyDrawing r:id="rId19"/>
  <controls>
    <mc:AlternateContent xmlns:mc="http://schemas.openxmlformats.org/markup-compatibility/2006">
      <mc:Choice Requires="x14">
        <control shapeId="46081" r:id="rId20" name="btnImportRealisation">
          <controlPr defaultSize="0" autoLine="0" r:id="rId21">
            <anchor moveWithCells="1">
              <from>
                <xdr:col>4</xdr:col>
                <xdr:colOff>590550</xdr:colOff>
                <xdr:row>0</xdr:row>
                <xdr:rowOff>180975</xdr:rowOff>
              </from>
              <to>
                <xdr:col>7</xdr:col>
                <xdr:colOff>257175</xdr:colOff>
                <xdr:row>2</xdr:row>
                <xdr:rowOff>152400</xdr:rowOff>
              </to>
            </anchor>
          </controlPr>
        </control>
      </mc:Choice>
      <mc:Fallback>
        <control shapeId="46081" r:id="rId20"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2"/>
  <sheetViews>
    <sheetView view="pageBreakPreview" topLeftCell="A61" zoomScaleNormal="100" zoomScaleSheetLayoutView="100" workbookViewId="0">
      <selection activeCell="B16" sqref="B16"/>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108"/>
      <c r="B3" s="109"/>
      <c r="C3" s="110" t="s">
        <v>52</v>
      </c>
      <c r="D3" s="111"/>
    </row>
    <row r="4" spans="1:4" s="81" customFormat="1" ht="13.5" x14ac:dyDescent="0.2">
      <c r="A4" s="5" t="s">
        <v>27</v>
      </c>
      <c r="B4" s="6">
        <v>5</v>
      </c>
      <c r="C4" s="14" t="s">
        <v>51</v>
      </c>
      <c r="D4" s="14"/>
    </row>
    <row r="5" spans="1:4" s="81" customFormat="1" ht="13.5" x14ac:dyDescent="0.2">
      <c r="A5" s="5" t="s">
        <v>38</v>
      </c>
      <c r="B5" s="6">
        <v>6</v>
      </c>
      <c r="C5" s="14" t="s">
        <v>46</v>
      </c>
      <c r="D5" s="14"/>
    </row>
    <row r="6" spans="1:4" s="81" customFormat="1" ht="13.5" x14ac:dyDescent="0.2">
      <c r="A6" s="5" t="s">
        <v>27</v>
      </c>
      <c r="B6" s="6">
        <v>1</v>
      </c>
      <c r="C6" s="14" t="s">
        <v>47</v>
      </c>
      <c r="D6" s="14"/>
    </row>
    <row r="7" spans="1:4" s="81" customFormat="1" ht="13.5" x14ac:dyDescent="0.2">
      <c r="A7" s="5" t="s">
        <v>21</v>
      </c>
      <c r="B7" s="6">
        <v>3</v>
      </c>
      <c r="C7" s="14" t="s">
        <v>56</v>
      </c>
      <c r="D7" s="14"/>
    </row>
    <row r="8" spans="1:4" s="81" customFormat="1" ht="27" x14ac:dyDescent="0.2">
      <c r="A8" s="5" t="s">
        <v>28</v>
      </c>
      <c r="B8" s="6">
        <v>8</v>
      </c>
      <c r="C8" s="14"/>
      <c r="D8" s="14"/>
    </row>
    <row r="9" spans="1:4" s="81" customFormat="1" ht="13.5" x14ac:dyDescent="0.2">
      <c r="A9" s="5" t="s">
        <v>38</v>
      </c>
      <c r="B9" s="6">
        <v>1</v>
      </c>
      <c r="C9" s="14"/>
      <c r="D9" s="14"/>
    </row>
    <row r="10" spans="1:4" s="81" customFormat="1" ht="13.5" x14ac:dyDescent="0.2">
      <c r="A10" s="112"/>
      <c r="B10" s="112"/>
      <c r="C10" s="113" t="s">
        <v>48</v>
      </c>
      <c r="D10" s="111"/>
    </row>
    <row r="11" spans="1:4" s="81" customFormat="1" ht="27" x14ac:dyDescent="0.2">
      <c r="A11" s="5" t="s">
        <v>28</v>
      </c>
      <c r="B11" s="6">
        <v>11</v>
      </c>
      <c r="C11" s="14"/>
      <c r="D11" s="14"/>
    </row>
    <row r="12" spans="1:4" s="81" customFormat="1" ht="13.5" x14ac:dyDescent="0.2">
      <c r="A12" s="5" t="s">
        <v>38</v>
      </c>
      <c r="B12" s="6">
        <v>1</v>
      </c>
      <c r="C12" s="14"/>
      <c r="D12" s="14"/>
    </row>
    <row r="13" spans="1:4" s="81" customFormat="1" ht="13.5" x14ac:dyDescent="0.2">
      <c r="A13" s="112"/>
      <c r="B13" s="112"/>
      <c r="C13" s="113" t="s">
        <v>49</v>
      </c>
      <c r="D13" s="111"/>
    </row>
    <row r="14" spans="1:4" ht="27" x14ac:dyDescent="0.2">
      <c r="A14" s="5" t="s">
        <v>28</v>
      </c>
      <c r="B14" s="6">
        <v>14</v>
      </c>
      <c r="C14" s="14"/>
      <c r="D14" s="14"/>
    </row>
    <row r="15" spans="1:4" ht="13.5" x14ac:dyDescent="0.2">
      <c r="A15" s="5" t="s">
        <v>38</v>
      </c>
      <c r="B15" s="6">
        <v>1</v>
      </c>
      <c r="C15" s="14"/>
      <c r="D15" s="14"/>
    </row>
    <row r="16" spans="1:4" ht="27" x14ac:dyDescent="0.2">
      <c r="A16" s="5" t="s">
        <v>28</v>
      </c>
      <c r="B16" s="6">
        <v>11</v>
      </c>
      <c r="C16" s="14"/>
      <c r="D16" s="14"/>
    </row>
    <row r="17" spans="1:9" ht="13.5" x14ac:dyDescent="0.2">
      <c r="A17" s="5" t="s">
        <v>38</v>
      </c>
      <c r="B17" s="6">
        <v>1</v>
      </c>
      <c r="C17" s="14"/>
      <c r="D17" s="14"/>
    </row>
    <row r="18" spans="1:9" ht="13.5" x14ac:dyDescent="0.2">
      <c r="A18" s="112"/>
      <c r="B18" s="112"/>
      <c r="C18" s="113" t="s">
        <v>50</v>
      </c>
      <c r="D18" s="111"/>
    </row>
    <row r="19" spans="1:9" ht="27" x14ac:dyDescent="0.2">
      <c r="A19" s="5" t="s">
        <v>28</v>
      </c>
      <c r="B19" s="6">
        <v>14</v>
      </c>
      <c r="C19" s="14"/>
      <c r="D19" s="14"/>
    </row>
    <row r="20" spans="1:9" s="115" customFormat="1" ht="13.5" x14ac:dyDescent="0.2">
      <c r="A20" s="5" t="s">
        <v>38</v>
      </c>
      <c r="B20" s="6">
        <v>1</v>
      </c>
      <c r="C20" s="14"/>
      <c r="D20" s="14"/>
      <c r="E20" s="114"/>
      <c r="F20" s="114"/>
      <c r="G20" s="114"/>
      <c r="H20" s="114"/>
      <c r="I20" s="114"/>
    </row>
    <row r="21" spans="1:9" ht="12.75" customHeight="1" x14ac:dyDescent="0.2">
      <c r="A21" s="5" t="s">
        <v>28</v>
      </c>
      <c r="B21" s="6">
        <v>11</v>
      </c>
      <c r="C21" s="14"/>
      <c r="D21" s="14"/>
      <c r="E21" s="37"/>
      <c r="F21" s="54"/>
      <c r="G21" s="55"/>
      <c r="H21" s="56"/>
      <c r="I21" s="37"/>
    </row>
    <row r="22" spans="1:9" ht="15" x14ac:dyDescent="0.2">
      <c r="A22" s="5" t="s">
        <v>38</v>
      </c>
      <c r="B22" s="6">
        <v>1</v>
      </c>
      <c r="C22" s="14"/>
      <c r="D22" s="14"/>
      <c r="E22" s="37"/>
      <c r="F22" s="57"/>
      <c r="G22" s="53"/>
      <c r="H22" s="53"/>
      <c r="I22" s="37"/>
    </row>
    <row r="23" spans="1:9" s="115" customFormat="1" ht="14.25" thickBot="1" x14ac:dyDescent="0.25">
      <c r="A23" s="7"/>
      <c r="B23" s="7"/>
      <c r="C23" s="15"/>
      <c r="D23" s="15"/>
      <c r="E23" s="114"/>
      <c r="F23" s="116"/>
      <c r="G23" s="117"/>
      <c r="H23" s="117"/>
      <c r="I23" s="114"/>
    </row>
    <row r="24" spans="1:9" ht="14.25" thickBot="1" x14ac:dyDescent="0.25">
      <c r="A24" s="16" t="s">
        <v>22</v>
      </c>
      <c r="B24" s="16">
        <f>SUM(B4:B23)</f>
        <v>90</v>
      </c>
      <c r="C24" s="85" t="s">
        <v>39</v>
      </c>
      <c r="D24" s="17"/>
      <c r="E24" s="37"/>
      <c r="F24" s="59"/>
      <c r="G24" s="60"/>
      <c r="H24" s="60"/>
      <c r="I24" s="37"/>
    </row>
    <row r="25" spans="1:9" ht="15" thickBot="1" x14ac:dyDescent="0.35">
      <c r="A25" s="18"/>
      <c r="B25" s="18"/>
      <c r="C25" s="18"/>
      <c r="D25" s="18"/>
      <c r="E25" s="37"/>
      <c r="F25" s="59"/>
      <c r="G25" s="60"/>
      <c r="H25" s="60"/>
      <c r="I25" s="37"/>
    </row>
    <row r="26" spans="1:9" ht="18.75" thickBot="1" x14ac:dyDescent="0.25">
      <c r="A26" s="10" t="s">
        <v>14</v>
      </c>
      <c r="B26" s="11">
        <v>2</v>
      </c>
      <c r="C26" s="31"/>
      <c r="D26" s="33"/>
      <c r="E26" s="37"/>
      <c r="F26" s="59"/>
      <c r="G26" s="60"/>
      <c r="H26" s="60"/>
      <c r="I26" s="37"/>
    </row>
    <row r="27" spans="1:9" ht="27.75" thickBot="1" x14ac:dyDescent="0.25">
      <c r="A27" s="12" t="s">
        <v>3</v>
      </c>
      <c r="B27" s="32" t="s">
        <v>15</v>
      </c>
      <c r="C27" s="12" t="s">
        <v>7</v>
      </c>
      <c r="D27" s="12" t="s">
        <v>13</v>
      </c>
      <c r="E27" s="37"/>
      <c r="F27" s="59"/>
      <c r="G27" s="60"/>
      <c r="H27" s="60"/>
      <c r="I27" s="37"/>
    </row>
    <row r="28" spans="1:9" ht="13.5" x14ac:dyDescent="0.2">
      <c r="A28" s="108"/>
      <c r="B28" s="109"/>
      <c r="C28" s="110" t="s">
        <v>52</v>
      </c>
      <c r="D28" s="111"/>
      <c r="E28" s="37"/>
      <c r="F28" s="59"/>
      <c r="G28" s="60"/>
      <c r="H28" s="60"/>
      <c r="I28" s="37"/>
    </row>
    <row r="29" spans="1:9" ht="13.5" x14ac:dyDescent="0.2">
      <c r="A29" s="118" t="s">
        <v>21</v>
      </c>
      <c r="B29" s="119">
        <v>24</v>
      </c>
      <c r="C29" s="120" t="s">
        <v>55</v>
      </c>
      <c r="D29" s="120"/>
      <c r="E29" s="37"/>
      <c r="F29" s="59"/>
      <c r="G29" s="60"/>
      <c r="H29" s="60"/>
      <c r="I29" s="37"/>
    </row>
    <row r="30" spans="1:9" ht="13.5" x14ac:dyDescent="0.2">
      <c r="A30" s="112"/>
      <c r="B30" s="112"/>
      <c r="C30" s="113" t="s">
        <v>48</v>
      </c>
      <c r="D30" s="111"/>
      <c r="E30" s="37"/>
      <c r="F30" s="59"/>
      <c r="G30" s="60"/>
      <c r="H30" s="60"/>
      <c r="I30" s="37"/>
    </row>
    <row r="31" spans="1:9" ht="13.5" x14ac:dyDescent="0.2">
      <c r="A31" s="118" t="s">
        <v>27</v>
      </c>
      <c r="B31" s="119">
        <v>3</v>
      </c>
      <c r="C31" s="120" t="s">
        <v>53</v>
      </c>
      <c r="D31" s="120"/>
      <c r="E31" s="37"/>
      <c r="F31" s="61"/>
      <c r="G31" s="62"/>
      <c r="H31" s="62"/>
      <c r="I31" s="37"/>
    </row>
    <row r="32" spans="1:9" ht="27" x14ac:dyDescent="0.3">
      <c r="A32" s="118" t="s">
        <v>54</v>
      </c>
      <c r="B32" s="119">
        <v>7</v>
      </c>
      <c r="C32" s="120"/>
      <c r="D32" s="120"/>
      <c r="E32" s="37"/>
      <c r="F32" s="63"/>
      <c r="G32" s="63"/>
      <c r="H32" s="63"/>
      <c r="I32" s="37"/>
    </row>
    <row r="33" spans="1:9" ht="13.5" x14ac:dyDescent="0.2">
      <c r="A33" s="118" t="s">
        <v>27</v>
      </c>
      <c r="B33" s="119">
        <v>1</v>
      </c>
      <c r="C33" s="120"/>
      <c r="D33" s="120"/>
      <c r="E33" s="37"/>
      <c r="F33" s="37"/>
      <c r="G33" s="37"/>
      <c r="H33" s="37"/>
      <c r="I33" s="37"/>
    </row>
    <row r="34" spans="1:9" ht="13.5" x14ac:dyDescent="0.2">
      <c r="A34" s="5" t="s">
        <v>38</v>
      </c>
      <c r="B34" s="6">
        <v>1</v>
      </c>
      <c r="C34" s="120"/>
      <c r="D34" s="14"/>
      <c r="E34" s="37"/>
      <c r="F34" s="37"/>
      <c r="G34" s="37"/>
      <c r="H34" s="37"/>
      <c r="I34" s="37"/>
    </row>
    <row r="35" spans="1:9" ht="13.5" x14ac:dyDescent="0.2">
      <c r="A35" s="112"/>
      <c r="B35" s="112"/>
      <c r="C35" s="113" t="s">
        <v>49</v>
      </c>
      <c r="D35" s="111"/>
      <c r="E35" s="37"/>
      <c r="F35" s="37"/>
      <c r="G35" s="37"/>
      <c r="H35" s="37"/>
      <c r="I35" s="37"/>
    </row>
    <row r="36" spans="1:9" ht="13.5" x14ac:dyDescent="0.2">
      <c r="A36" s="5" t="s">
        <v>30</v>
      </c>
      <c r="B36" s="6">
        <v>14</v>
      </c>
      <c r="C36" s="14"/>
      <c r="D36" s="14"/>
      <c r="E36" s="37"/>
      <c r="F36" s="37"/>
      <c r="G36" s="37"/>
      <c r="H36" s="37"/>
      <c r="I36" s="37"/>
    </row>
    <row r="37" spans="1:9" ht="27" x14ac:dyDescent="0.2">
      <c r="A37" s="5" t="s">
        <v>31</v>
      </c>
      <c r="B37" s="6"/>
      <c r="C37" s="14"/>
      <c r="D37" s="14"/>
      <c r="E37" s="37"/>
      <c r="F37" s="37"/>
      <c r="G37" s="37"/>
      <c r="H37" s="37"/>
      <c r="I37" s="37"/>
    </row>
    <row r="38" spans="1:9" ht="13.5" x14ac:dyDescent="0.2">
      <c r="A38" s="5" t="s">
        <v>38</v>
      </c>
      <c r="B38" s="6">
        <v>1</v>
      </c>
      <c r="C38" s="14"/>
      <c r="D38" s="14"/>
      <c r="E38" s="37"/>
      <c r="F38" s="37"/>
      <c r="G38" s="37"/>
      <c r="H38" s="37"/>
      <c r="I38" s="37"/>
    </row>
    <row r="39" spans="1:9" ht="13.5" x14ac:dyDescent="0.2">
      <c r="A39" s="5" t="s">
        <v>30</v>
      </c>
      <c r="B39" s="6">
        <v>10</v>
      </c>
      <c r="C39" s="14"/>
      <c r="D39" s="14"/>
      <c r="E39" s="37"/>
      <c r="F39" s="37"/>
      <c r="G39" s="37"/>
      <c r="H39" s="37"/>
      <c r="I39" s="37"/>
    </row>
    <row r="40" spans="1:9" ht="27" x14ac:dyDescent="0.2">
      <c r="A40" s="5" t="s">
        <v>31</v>
      </c>
      <c r="B40" s="6"/>
      <c r="C40" s="14"/>
      <c r="D40" s="14"/>
    </row>
    <row r="41" spans="1:9" ht="13.5" x14ac:dyDescent="0.2">
      <c r="A41" s="118" t="s">
        <v>27</v>
      </c>
      <c r="B41" s="119">
        <v>1</v>
      </c>
      <c r="C41" s="14"/>
      <c r="D41" s="14"/>
    </row>
    <row r="42" spans="1:9" ht="13.5" x14ac:dyDescent="0.2">
      <c r="A42" s="5" t="s">
        <v>38</v>
      </c>
      <c r="B42" s="6">
        <v>1</v>
      </c>
      <c r="C42" s="14"/>
      <c r="D42" s="14"/>
    </row>
    <row r="43" spans="1:9" ht="13.5" x14ac:dyDescent="0.2">
      <c r="A43" s="112"/>
      <c r="B43" s="112"/>
      <c r="C43" s="113" t="s">
        <v>50</v>
      </c>
      <c r="D43" s="111"/>
    </row>
    <row r="44" spans="1:9" ht="27" x14ac:dyDescent="0.2">
      <c r="A44" s="5" t="s">
        <v>33</v>
      </c>
      <c r="B44" s="6">
        <v>14</v>
      </c>
      <c r="C44" s="14"/>
      <c r="D44" s="14"/>
    </row>
    <row r="45" spans="1:9" ht="13.5" x14ac:dyDescent="0.2">
      <c r="A45" s="5" t="s">
        <v>36</v>
      </c>
      <c r="B45" s="6"/>
      <c r="C45" s="14"/>
      <c r="D45" s="14"/>
    </row>
    <row r="46" spans="1:9" ht="13.5" x14ac:dyDescent="0.2">
      <c r="A46" s="5" t="s">
        <v>38</v>
      </c>
      <c r="B46" s="6">
        <v>1</v>
      </c>
      <c r="C46" s="14"/>
      <c r="D46" s="14"/>
    </row>
    <row r="47" spans="1:9" ht="27" x14ac:dyDescent="0.2">
      <c r="A47" s="5" t="s">
        <v>33</v>
      </c>
      <c r="B47" s="6">
        <v>10</v>
      </c>
      <c r="C47" s="14"/>
      <c r="D47" s="14"/>
    </row>
    <row r="48" spans="1:9" ht="13.5" x14ac:dyDescent="0.2">
      <c r="A48" s="5" t="s">
        <v>36</v>
      </c>
      <c r="B48" s="6"/>
      <c r="C48" s="14"/>
      <c r="D48" s="14"/>
    </row>
    <row r="49" spans="1:9" ht="13.5" x14ac:dyDescent="0.2">
      <c r="A49" s="118" t="s">
        <v>27</v>
      </c>
      <c r="B49" s="119">
        <v>1</v>
      </c>
      <c r="C49" s="14"/>
      <c r="D49" s="14"/>
    </row>
    <row r="50" spans="1:9" ht="13.5" x14ac:dyDescent="0.2">
      <c r="A50" s="5" t="s">
        <v>38</v>
      </c>
      <c r="B50" s="6">
        <v>1</v>
      </c>
      <c r="C50" s="14"/>
      <c r="D50" s="14"/>
    </row>
    <row r="51" spans="1:9" ht="14.25" thickBot="1" x14ac:dyDescent="0.25">
      <c r="A51" s="7"/>
      <c r="B51" s="7"/>
      <c r="C51" s="15"/>
      <c r="D51" s="15"/>
    </row>
    <row r="52" spans="1:9" ht="14.25" thickBot="1" x14ac:dyDescent="0.25">
      <c r="A52" s="16" t="s">
        <v>22</v>
      </c>
      <c r="B52" s="16">
        <f>SUM(B28:B51)</f>
        <v>90</v>
      </c>
      <c r="C52" s="85" t="s">
        <v>39</v>
      </c>
      <c r="D52" s="17"/>
    </row>
    <row r="53" spans="1:9" ht="15" thickBot="1" x14ac:dyDescent="0.35">
      <c r="A53" s="18"/>
      <c r="B53" s="18"/>
      <c r="C53" s="18"/>
      <c r="D53" s="18"/>
    </row>
    <row r="54" spans="1:9" ht="18.75" thickBot="1" x14ac:dyDescent="0.25">
      <c r="A54" s="10" t="s">
        <v>14</v>
      </c>
      <c r="B54" s="11">
        <v>3</v>
      </c>
      <c r="C54" s="31"/>
      <c r="D54" s="33"/>
    </row>
    <row r="55" spans="1:9" ht="27.75" thickBot="1" x14ac:dyDescent="0.25">
      <c r="A55" s="12" t="s">
        <v>3</v>
      </c>
      <c r="B55" s="32" t="s">
        <v>15</v>
      </c>
      <c r="C55" s="12" t="s">
        <v>7</v>
      </c>
      <c r="D55" s="12" t="s">
        <v>13</v>
      </c>
    </row>
    <row r="56" spans="1:9" ht="13.5" x14ac:dyDescent="0.2">
      <c r="A56" s="112"/>
      <c r="B56" s="112"/>
      <c r="C56" s="113" t="s">
        <v>52</v>
      </c>
      <c r="D56" s="111"/>
    </row>
    <row r="57" spans="1:9" ht="13.5" x14ac:dyDescent="0.2">
      <c r="A57" s="118" t="s">
        <v>45</v>
      </c>
      <c r="B57" s="119">
        <v>8</v>
      </c>
      <c r="C57" s="120"/>
      <c r="D57" s="120"/>
    </row>
    <row r="58" spans="1:9" ht="13.5" x14ac:dyDescent="0.2">
      <c r="A58" s="118" t="s">
        <v>27</v>
      </c>
      <c r="B58" s="119">
        <v>3</v>
      </c>
      <c r="C58" s="120"/>
      <c r="D58" s="120"/>
      <c r="E58" s="37"/>
      <c r="F58" s="37"/>
      <c r="G58" s="37"/>
      <c r="H58" s="37"/>
      <c r="I58" s="37"/>
    </row>
    <row r="59" spans="1:9" ht="13.5" x14ac:dyDescent="0.2">
      <c r="A59" s="5" t="s">
        <v>38</v>
      </c>
      <c r="B59" s="6">
        <v>1</v>
      </c>
      <c r="C59" s="120"/>
      <c r="D59" s="120"/>
    </row>
    <row r="60" spans="1:9" ht="13.5" x14ac:dyDescent="0.2">
      <c r="A60" s="5" t="s">
        <v>21</v>
      </c>
      <c r="B60" s="6">
        <v>3</v>
      </c>
      <c r="C60" s="14" t="s">
        <v>56</v>
      </c>
      <c r="D60" s="120"/>
    </row>
    <row r="61" spans="1:9" ht="27" x14ac:dyDescent="0.2">
      <c r="A61" s="5" t="s">
        <v>34</v>
      </c>
      <c r="B61" s="6">
        <v>7</v>
      </c>
      <c r="C61" s="14"/>
      <c r="D61" s="120"/>
    </row>
    <row r="62" spans="1:9" ht="13.5" x14ac:dyDescent="0.2">
      <c r="A62" s="118" t="s">
        <v>27</v>
      </c>
      <c r="B62" s="6">
        <v>1</v>
      </c>
      <c r="C62" s="14"/>
      <c r="D62" s="120"/>
    </row>
    <row r="63" spans="1:9" ht="13.5" x14ac:dyDescent="0.2">
      <c r="A63" s="5" t="s">
        <v>38</v>
      </c>
      <c r="B63" s="6">
        <v>1</v>
      </c>
      <c r="C63" s="14"/>
      <c r="D63" s="120"/>
    </row>
    <row r="64" spans="1:9" ht="13.5" x14ac:dyDescent="0.2">
      <c r="A64" s="112"/>
      <c r="B64" s="112"/>
      <c r="C64" s="113" t="s">
        <v>48</v>
      </c>
      <c r="D64" s="111"/>
    </row>
    <row r="65" spans="1:4" ht="27" x14ac:dyDescent="0.2">
      <c r="A65" s="118" t="s">
        <v>34</v>
      </c>
      <c r="B65" s="119">
        <v>7</v>
      </c>
      <c r="C65" s="120"/>
      <c r="D65" s="120"/>
    </row>
    <row r="66" spans="1:4" ht="13.5" x14ac:dyDescent="0.2">
      <c r="A66" s="118" t="s">
        <v>45</v>
      </c>
      <c r="B66" s="119">
        <v>3</v>
      </c>
      <c r="C66" s="120"/>
      <c r="D66" s="120"/>
    </row>
    <row r="67" spans="1:4" ht="13.5" x14ac:dyDescent="0.2">
      <c r="A67" s="118" t="s">
        <v>27</v>
      </c>
      <c r="B67" s="119">
        <v>1</v>
      </c>
      <c r="C67" s="120"/>
      <c r="D67" s="120"/>
    </row>
    <row r="68" spans="1:4" ht="13.5" x14ac:dyDescent="0.2">
      <c r="A68" s="5" t="s">
        <v>38</v>
      </c>
      <c r="B68" s="6">
        <v>1</v>
      </c>
      <c r="C68" s="120"/>
      <c r="D68" s="120"/>
    </row>
    <row r="69" spans="1:4" ht="13.5" x14ac:dyDescent="0.2">
      <c r="A69" s="112"/>
      <c r="B69" s="112"/>
      <c r="C69" s="113" t="s">
        <v>49</v>
      </c>
      <c r="D69" s="111"/>
    </row>
    <row r="70" spans="1:4" ht="27" x14ac:dyDescent="0.2">
      <c r="A70" s="118" t="s">
        <v>35</v>
      </c>
      <c r="B70" s="119">
        <v>14</v>
      </c>
      <c r="C70" s="120"/>
      <c r="D70" s="120"/>
    </row>
    <row r="71" spans="1:4" ht="13.5" x14ac:dyDescent="0.2">
      <c r="A71" s="118" t="s">
        <v>38</v>
      </c>
      <c r="B71" s="119">
        <v>1</v>
      </c>
      <c r="C71" s="120"/>
      <c r="D71" s="120"/>
    </row>
    <row r="72" spans="1:4" ht="13.5" x14ac:dyDescent="0.2">
      <c r="A72" s="118" t="s">
        <v>27</v>
      </c>
      <c r="B72" s="119">
        <v>11</v>
      </c>
      <c r="C72" s="120"/>
      <c r="D72" s="120"/>
    </row>
    <row r="73" spans="1:4" ht="13.5" x14ac:dyDescent="0.2">
      <c r="A73" s="118" t="s">
        <v>38</v>
      </c>
      <c r="B73" s="119">
        <v>1</v>
      </c>
      <c r="C73" s="120"/>
      <c r="D73" s="120"/>
    </row>
    <row r="74" spans="1:4" ht="13.5" x14ac:dyDescent="0.2">
      <c r="A74" s="112"/>
      <c r="B74" s="112"/>
      <c r="C74" s="113" t="s">
        <v>50</v>
      </c>
      <c r="D74" s="111"/>
    </row>
    <row r="75" spans="1:4" ht="13.5" x14ac:dyDescent="0.2">
      <c r="A75" s="118" t="s">
        <v>45</v>
      </c>
      <c r="B75" s="119">
        <v>14</v>
      </c>
      <c r="C75" s="120" t="s">
        <v>58</v>
      </c>
      <c r="D75" s="120"/>
    </row>
    <row r="76" spans="1:4" ht="13.5" x14ac:dyDescent="0.2">
      <c r="A76" s="118" t="s">
        <v>38</v>
      </c>
      <c r="B76" s="119">
        <v>1</v>
      </c>
      <c r="C76" s="120"/>
      <c r="D76" s="120"/>
    </row>
    <row r="77" spans="1:4" ht="13.5" x14ac:dyDescent="0.2">
      <c r="A77" s="118" t="s">
        <v>57</v>
      </c>
      <c r="B77" s="119">
        <v>8</v>
      </c>
      <c r="C77" s="120"/>
      <c r="D77" s="120"/>
    </row>
    <row r="78" spans="1:4" ht="13.5" x14ac:dyDescent="0.2">
      <c r="A78" s="118" t="s">
        <v>27</v>
      </c>
      <c r="B78" s="119">
        <v>3</v>
      </c>
      <c r="C78" s="120"/>
      <c r="D78" s="120"/>
    </row>
    <row r="79" spans="1:4" ht="13.5" x14ac:dyDescent="0.2">
      <c r="A79" s="118" t="s">
        <v>38</v>
      </c>
      <c r="B79" s="119">
        <v>1</v>
      </c>
      <c r="C79" s="120"/>
      <c r="D79" s="120"/>
    </row>
    <row r="80" spans="1:4" ht="14.25" thickBot="1" x14ac:dyDescent="0.25">
      <c r="A80" s="7"/>
      <c r="B80" s="7"/>
      <c r="C80" s="15"/>
      <c r="D80" s="15"/>
    </row>
    <row r="81" spans="1:4" ht="14.25" thickBot="1" x14ac:dyDescent="0.25">
      <c r="A81" s="16" t="s">
        <v>22</v>
      </c>
      <c r="B81" s="16">
        <f>SUM(B56:B80)</f>
        <v>90</v>
      </c>
      <c r="C81" s="85" t="s">
        <v>39</v>
      </c>
      <c r="D81" s="17"/>
    </row>
    <row r="82" spans="1:4" ht="15" thickBot="1" x14ac:dyDescent="0.35">
      <c r="A82" s="18"/>
      <c r="B82" s="18"/>
      <c r="C82" s="18"/>
      <c r="D82" s="18"/>
    </row>
    <row r="83" spans="1:4" ht="18.75" thickBot="1" x14ac:dyDescent="0.25">
      <c r="A83" s="10" t="s">
        <v>14</v>
      </c>
      <c r="B83" s="11">
        <v>4</v>
      </c>
      <c r="C83" s="31"/>
      <c r="D83" s="33"/>
    </row>
    <row r="84" spans="1:4" ht="27.75" thickBot="1" x14ac:dyDescent="0.25">
      <c r="A84" s="12" t="s">
        <v>3</v>
      </c>
      <c r="B84" s="32" t="s">
        <v>15</v>
      </c>
      <c r="C84" s="12" t="s">
        <v>7</v>
      </c>
      <c r="D84" s="12" t="s">
        <v>13</v>
      </c>
    </row>
    <row r="85" spans="1:4" ht="13.5" x14ac:dyDescent="0.2">
      <c r="A85" s="112"/>
      <c r="B85" s="112"/>
      <c r="C85" s="113" t="s">
        <v>52</v>
      </c>
      <c r="D85" s="111"/>
    </row>
    <row r="86" spans="1:4" ht="13.5" x14ac:dyDescent="0.2">
      <c r="A86" s="5" t="s">
        <v>27</v>
      </c>
      <c r="B86" s="6">
        <v>11</v>
      </c>
      <c r="C86" s="14"/>
      <c r="D86" s="14"/>
    </row>
    <row r="87" spans="1:4" ht="13.5" x14ac:dyDescent="0.2">
      <c r="A87" s="118" t="s">
        <v>38</v>
      </c>
      <c r="B87" s="119">
        <v>1</v>
      </c>
      <c r="C87" s="120"/>
      <c r="D87" s="120"/>
    </row>
    <row r="88" spans="1:4" ht="13.5" x14ac:dyDescent="0.2">
      <c r="A88" s="5" t="s">
        <v>21</v>
      </c>
      <c r="B88" s="6">
        <v>3</v>
      </c>
      <c r="C88" s="14" t="s">
        <v>56</v>
      </c>
      <c r="D88" s="14"/>
    </row>
    <row r="89" spans="1:4" ht="13.5" x14ac:dyDescent="0.2">
      <c r="A89" s="5" t="s">
        <v>27</v>
      </c>
      <c r="B89" s="6">
        <v>8</v>
      </c>
      <c r="C89" s="14" t="s">
        <v>59</v>
      </c>
      <c r="D89" s="14"/>
    </row>
    <row r="90" spans="1:4" ht="13.5" x14ac:dyDescent="0.2">
      <c r="A90" s="118" t="s">
        <v>38</v>
      </c>
      <c r="B90" s="119">
        <v>1</v>
      </c>
      <c r="C90" s="120"/>
      <c r="D90" s="120"/>
    </row>
    <row r="91" spans="1:4" ht="13.5" x14ac:dyDescent="0.2">
      <c r="A91" s="112"/>
      <c r="B91" s="112"/>
      <c r="C91" s="113" t="s">
        <v>60</v>
      </c>
      <c r="D91" s="111"/>
    </row>
    <row r="92" spans="1:4" ht="13.5" x14ac:dyDescent="0.2">
      <c r="A92" s="5" t="s">
        <v>21</v>
      </c>
      <c r="B92" s="6">
        <v>66</v>
      </c>
      <c r="C92" s="14" t="s">
        <v>61</v>
      </c>
      <c r="D92" s="14"/>
    </row>
    <row r="93" spans="1:4" ht="14.25" thickBot="1" x14ac:dyDescent="0.25">
      <c r="A93" s="7"/>
      <c r="B93" s="7"/>
      <c r="C93" s="15"/>
      <c r="D93" s="15"/>
    </row>
    <row r="94" spans="1:4" ht="14.25" thickBot="1" x14ac:dyDescent="0.25">
      <c r="A94" s="16" t="s">
        <v>22</v>
      </c>
      <c r="B94" s="16">
        <f>SUM(B85:B93)</f>
        <v>90</v>
      </c>
      <c r="C94" s="85" t="s">
        <v>39</v>
      </c>
      <c r="D94" s="17"/>
    </row>
    <row r="95" spans="1:4" ht="14.25" x14ac:dyDescent="0.3">
      <c r="A95" s="18"/>
      <c r="B95" s="18"/>
      <c r="C95" s="18"/>
      <c r="D95" s="18"/>
    </row>
    <row r="96" spans="1:4" x14ac:dyDescent="0.2">
      <c r="A96" s="84" t="s">
        <v>40</v>
      </c>
    </row>
    <row r="102" spans="1:4" s="81" customFormat="1" x14ac:dyDescent="0.2">
      <c r="A102" s="51"/>
      <c r="B102" s="51"/>
      <c r="C102" s="51"/>
      <c r="D102" s="51"/>
    </row>
  </sheetData>
  <sheetProtection insertRows="0" selectLockedCells="1"/>
  <dataValidations count="4">
    <dataValidation type="list" allowBlank="1" showInputMessage="1" showErrorMessage="1" sqref="A28:A51 A3:A23 A85:A93 A56:A8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2 B81 B94">
      <formula1>0</formula1>
      <formula2>NbPerWeek * NbQuartPer</formula2>
    </dataValidation>
    <dataValidation type="whole" errorStyle="warning" operator="greaterThan" allowBlank="1" showInputMessage="1" showErrorMessage="1" errorTitle="Durée en 1/3 de période" error="Le nombre doit être de type entier" sqref="F23:F30 B28:B51 B3:B23 B85:B93 B56:B8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1">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2017-06-20T12:20:20Z</dcterms:modified>
  <cp:contentStatus>Version 8.0</cp:contentStatus>
</cp:coreProperties>
</file>