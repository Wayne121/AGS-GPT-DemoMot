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GitKraken\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JNLTRAV!$A$1:$D$31</definedName>
    <definedName name="_xlnm.Print_Area" localSheetId="1">Diagramme!$A$1:$MZ$37</definedName>
    <definedName name="_xlnm.Print_Area" localSheetId="0">Donnees!$A$1:$G$54</definedName>
    <definedName name="_xlnm.Print_Area" localSheetId="6">JNLTRAV!$A$1:$D$88</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87" i="159"/>
  <c r="B68" i="159"/>
  <c r="B49" i="159"/>
  <c r="B30" i="159"/>
  <c r="B18" i="154" l="1"/>
  <c r="B13" i="11"/>
</calcChain>
</file>

<file path=xl/sharedStrings.xml><?xml version="1.0" encoding="utf-8"?>
<sst xmlns="http://schemas.openxmlformats.org/spreadsheetml/2006/main" count="242" uniqueCount="82">
  <si>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</si>
  <si>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</si>
  <si>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</si>
  <si>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</si>
  <si>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</si>
  <si>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</si>
  <si>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</si>
  <si>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</si>
  <si>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</si>
  <si>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</si>
  <si>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</si>
  <si>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</si>
  <si>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</si>
  <si>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</si>
  <si>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</si>
  <si>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</si>
  <si>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</si>
  <si>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</si>
  <si>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</si>
  <si>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</si>
  <si>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</si>
  <si>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</si>
  <si>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</si>
  <si>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</si>
  <si>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</si>
  <si>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</si>
  <si>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</si>
  <si>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</si>
  <si>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</si>
  <si>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</si>
  <si>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</si>
  <si>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</si>
  <si>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</si>
  <si>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</si>
  <si>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</si>
  <si>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</si>
  <si>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</si>
  <si>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</si>
  <si>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</si>
  <si>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</si>
  <si>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</si>
  <si>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</si>
  <si>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</si>
  <si>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</si>
  <si>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</si>
  <si>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</si>
  <si>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</si>
  <si>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</si>
  <si>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</si>
  <si>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</si>
  <si>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</si>
  <si>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</si>
  <si>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</si>
  <si>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</si>
  <si>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</si>
  <si>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</si>
  <si>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</si>
  <si>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</si>
  <si>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</si>
  <si>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</si>
  <si>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</si>
  <si>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</si>
  <si>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Création du cahier des charges selon les critères du projet avec André</t>
  </si>
  <si>
    <t>H:\GitKraken\DemoMot\AGS-GPT-DemoMot\DemoMot-ags-gpt-ApplicationAndroidJava.docx</t>
  </si>
  <si>
    <t>Création du dépôt Github, initial commit, configuration sur GitKraken pour GitFlow</t>
  </si>
  <si>
    <t>https://github.com/Wayne121/AGS-GPT-DemoMot/</t>
  </si>
  <si>
    <t>H:\GitKraken\DemoMot\AGS-GPT-DemoMot\Modele-JDT.xlsm</t>
  </si>
  <si>
    <t>Création du modèle du Journal de Travail avec plannification pour les 4 semaines qu'André et moi allons utiliser pour le projet</t>
  </si>
  <si>
    <t>Nous sommes partis demander des conseils à KBA concernant notre projet et Cahier des charges, quelques modifications ont été apportés au cahier des charges et nous en savont un peu plus sur Android Studio</t>
  </si>
  <si>
    <t>Visualisation d'une vidéo youtube tutoriel sur Android Studio</t>
  </si>
  <si>
    <t>https://www.youtube.com/watch?v=TCJFoExOBUE</t>
  </si>
  <si>
    <t>http://jmdoudoux.developpez.com/cours/developpons/java/</t>
  </si>
  <si>
    <t xml:space="preserve">Recherches d'un cours complet sur Java qui puisse nous être utile en cas de problème pendant la programmation </t>
  </si>
  <si>
    <t>Séance de classe - 30minutes</t>
  </si>
  <si>
    <t>Quelques essais sur Android studio et découverte du logiciel =&gt; Rien de concluant pour l'instant un simple Hello World</t>
  </si>
  <si>
    <t>Mise à Jour du Journal De Travail et Push sur le Dépôt Git</t>
  </si>
  <si>
    <t>Essais pour installer l'apk pour la tester sur mon Android =&gt; Soit l'application se ferme, soit l'installation échoue, je réessayerai dans quelques jours</t>
  </si>
  <si>
    <t>H:\GitKraken\DemoMot\AGS-GPT-DemoMot\AppTest1.png</t>
  </si>
  <si>
    <t>Mise en place d'une application "compteur" permettant d'incrémenter un nombre lors de l'appui d'un bouton
Commentaires absent pour le moment dû au fait que je ne comprend pas encore bien le code</t>
  </si>
  <si>
    <t>Recherches sur les EditText pour mettre un champ dans l'application</t>
  </si>
  <si>
    <t>Mise à jour du JDT</t>
  </si>
  <si>
    <t>Modifications de l'application pour mettre un champ EditText qui modifie le nombre de click effectué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</si>
</sst>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0" fillId="15" borderId="1"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https://www.youtube.com/watch?v=TCJFoExOBUE" TargetMode="External"/><Relationship Id="rId7" Type="http://schemas.openxmlformats.org/officeDocument/2006/relationships/control" Target="../activeX/activeX6.xml"/><Relationship Id="rId2" Type="http://schemas.openxmlformats.org/officeDocument/2006/relationships/hyperlink" Target="https://github.com/Wayne121/AGS-GPT-DemoMot/" TargetMode="External"/><Relationship Id="rId1" Type="http://schemas.openxmlformats.org/officeDocument/2006/relationships/hyperlink" Target="DemoMot-ags-gpt-ApplicationAndroidJava.docx"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7" zoomScaleNormal="100" workbookViewId="0">
      <selection activeCell="C39" sqref="C39"/>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3" t="s">
        <v>19</v>
      </c>
      <c r="C19" s="124"/>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27" t="s">
        <v>41</v>
      </c>
      <c r="E2" s="128"/>
      <c r="F2" s="128"/>
      <c r="G2" s="128"/>
      <c r="H2" s="128"/>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28"/>
      <c r="AK2" s="128"/>
      <c r="AL2" s="128"/>
      <c r="AM2" s="128"/>
      <c r="AN2" s="128"/>
      <c r="AO2" s="128"/>
      <c r="AP2" s="128"/>
      <c r="AQ2" s="128"/>
      <c r="AR2" s="128"/>
      <c r="AS2" s="128"/>
      <c r="AT2" s="128"/>
      <c r="AU2" s="128"/>
      <c r="AV2" s="128"/>
      <c r="AW2" s="128"/>
      <c r="AX2" s="128"/>
      <c r="AY2" s="128"/>
      <c r="AZ2" s="128"/>
      <c r="BA2" s="128"/>
      <c r="BB2" s="128"/>
      <c r="BC2" s="128"/>
      <c r="BD2" s="128"/>
      <c r="BE2" s="128"/>
      <c r="BF2" s="128"/>
      <c r="BG2" s="128"/>
      <c r="BH2" s="128"/>
      <c r="BI2" s="128"/>
      <c r="BJ2" s="128"/>
      <c r="BK2" s="128"/>
      <c r="BL2" s="128"/>
      <c r="BM2" s="128"/>
      <c r="BN2" s="128"/>
      <c r="BO2" s="128"/>
      <c r="BP2" s="128"/>
      <c r="BQ2" s="128"/>
      <c r="BR2" s="128"/>
      <c r="BS2" s="128"/>
      <c r="BT2" s="128"/>
      <c r="BU2" s="128"/>
      <c r="BV2" s="128"/>
      <c r="BW2" s="128"/>
      <c r="BX2" s="128"/>
      <c r="BY2" s="128"/>
      <c r="BZ2" s="128"/>
      <c r="CA2" s="128"/>
      <c r="CB2" s="128"/>
      <c r="CC2" s="128"/>
      <c r="CD2" s="128"/>
      <c r="CE2" s="128"/>
      <c r="CF2" s="128"/>
      <c r="CG2" s="128"/>
      <c r="CH2" s="128"/>
      <c r="CI2" s="128"/>
      <c r="CJ2" s="128"/>
      <c r="CK2" s="128"/>
      <c r="CL2" s="128"/>
      <c r="CM2" s="128"/>
      <c r="CN2" s="128"/>
      <c r="CO2" s="129"/>
      <c r="CP2" s="127" t="s">
        <v>42</v>
      </c>
      <c r="CQ2" s="128"/>
      <c r="CR2" s="128"/>
      <c r="CS2" s="128"/>
      <c r="CT2" s="128"/>
      <c r="CU2" s="128"/>
      <c r="CV2" s="128"/>
      <c r="CW2" s="128"/>
      <c r="CX2" s="128"/>
      <c r="CY2" s="128"/>
      <c r="CZ2" s="128"/>
      <c r="DA2" s="128"/>
      <c r="DB2" s="128"/>
      <c r="DC2" s="128"/>
      <c r="DD2" s="128"/>
      <c r="DE2" s="128"/>
      <c r="DF2" s="128"/>
      <c r="DG2" s="128"/>
      <c r="DH2" s="128"/>
      <c r="DI2" s="128"/>
      <c r="DJ2" s="128"/>
      <c r="DK2" s="128"/>
      <c r="DL2" s="128"/>
      <c r="DM2" s="128"/>
      <c r="DN2" s="128"/>
      <c r="DO2" s="128"/>
      <c r="DP2" s="128"/>
      <c r="DQ2" s="128"/>
      <c r="DR2" s="128"/>
      <c r="DS2" s="128"/>
      <c r="DT2" s="128"/>
      <c r="DU2" s="128"/>
      <c r="DV2" s="128"/>
      <c r="DW2" s="128"/>
      <c r="DX2" s="128"/>
      <c r="DY2" s="128"/>
      <c r="DZ2" s="128"/>
      <c r="EA2" s="128"/>
      <c r="EB2" s="128"/>
      <c r="EC2" s="128"/>
      <c r="ED2" s="128"/>
      <c r="EE2" s="128"/>
      <c r="EF2" s="128"/>
      <c r="EG2" s="128"/>
      <c r="EH2" s="128"/>
      <c r="EI2" s="128"/>
      <c r="EJ2" s="128"/>
      <c r="EK2" s="128"/>
      <c r="EL2" s="128"/>
      <c r="EM2" s="128"/>
      <c r="EN2" s="128"/>
      <c r="EO2" s="128"/>
      <c r="EP2" s="128"/>
      <c r="EQ2" s="128"/>
      <c r="ER2" s="128"/>
      <c r="ES2" s="128"/>
      <c r="ET2" s="128"/>
      <c r="EU2" s="128"/>
      <c r="EV2" s="128"/>
      <c r="EW2" s="128"/>
      <c r="EX2" s="128"/>
      <c r="EY2" s="128"/>
      <c r="EZ2" s="128"/>
      <c r="FA2" s="128"/>
      <c r="FB2" s="128"/>
      <c r="FC2" s="128"/>
      <c r="FD2" s="128"/>
      <c r="FE2" s="128"/>
      <c r="FF2" s="128"/>
      <c r="FG2" s="128"/>
      <c r="FH2" s="128"/>
      <c r="FI2" s="128"/>
      <c r="FJ2" s="128"/>
      <c r="FK2" s="128"/>
      <c r="FL2" s="128"/>
      <c r="FM2" s="128"/>
      <c r="FN2" s="128"/>
      <c r="FO2" s="128"/>
      <c r="FP2" s="128"/>
      <c r="FQ2" s="128"/>
      <c r="FR2" s="128"/>
      <c r="FS2" s="128"/>
      <c r="FT2" s="128"/>
      <c r="FU2" s="128"/>
      <c r="FV2" s="128"/>
      <c r="FW2" s="128"/>
      <c r="FX2" s="128"/>
      <c r="FY2" s="128"/>
      <c r="FZ2" s="128"/>
      <c r="GA2" s="129"/>
      <c r="GB2" s="127" t="s">
        <v>43</v>
      </c>
      <c r="GC2" s="128"/>
      <c r="GD2" s="128"/>
      <c r="GE2" s="128"/>
      <c r="GF2" s="128"/>
      <c r="GG2" s="128"/>
      <c r="GH2" s="128"/>
      <c r="GI2" s="128"/>
      <c r="GJ2" s="128"/>
      <c r="GK2" s="128"/>
      <c r="GL2" s="128"/>
      <c r="GM2" s="128"/>
      <c r="GN2" s="128"/>
      <c r="GO2" s="128"/>
      <c r="GP2" s="128"/>
      <c r="GQ2" s="128"/>
      <c r="GR2" s="128"/>
      <c r="GS2" s="128"/>
      <c r="GT2" s="128"/>
      <c r="GU2" s="128"/>
      <c r="GV2" s="128"/>
      <c r="GW2" s="128"/>
      <c r="GX2" s="128"/>
      <c r="GY2" s="128"/>
      <c r="GZ2" s="128"/>
      <c r="HA2" s="128"/>
      <c r="HB2" s="128"/>
      <c r="HC2" s="128"/>
      <c r="HD2" s="128"/>
      <c r="HE2" s="128"/>
      <c r="HF2" s="128"/>
      <c r="HG2" s="128"/>
      <c r="HH2" s="128"/>
      <c r="HI2" s="128"/>
      <c r="HJ2" s="128"/>
      <c r="HK2" s="128"/>
      <c r="HL2" s="128"/>
      <c r="HM2" s="128"/>
      <c r="HN2" s="128"/>
      <c r="HO2" s="128"/>
      <c r="HP2" s="128"/>
      <c r="HQ2" s="128"/>
      <c r="HR2" s="128"/>
      <c r="HS2" s="128"/>
      <c r="HT2" s="128"/>
      <c r="HU2" s="128"/>
      <c r="HV2" s="128"/>
      <c r="HW2" s="128"/>
      <c r="HX2" s="128"/>
      <c r="HY2" s="128"/>
      <c r="HZ2" s="128"/>
      <c r="IA2" s="128"/>
      <c r="IB2" s="128"/>
      <c r="IC2" s="128"/>
      <c r="ID2" s="128"/>
      <c r="IE2" s="128"/>
      <c r="IF2" s="128"/>
      <c r="IG2" s="128"/>
      <c r="IH2" s="128"/>
      <c r="II2" s="128"/>
      <c r="IJ2" s="128"/>
      <c r="IK2" s="128"/>
      <c r="IL2" s="128"/>
      <c r="IM2" s="128"/>
      <c r="IN2" s="128"/>
      <c r="IO2" s="128"/>
      <c r="IP2" s="128"/>
      <c r="IQ2" s="128"/>
      <c r="IR2" s="128"/>
      <c r="IS2" s="128"/>
      <c r="IT2" s="128"/>
      <c r="IU2" s="128"/>
      <c r="IV2" s="128"/>
      <c r="IW2" s="128"/>
      <c r="IX2" s="128"/>
      <c r="IY2" s="128"/>
      <c r="IZ2" s="128"/>
      <c r="JA2" s="128"/>
      <c r="JB2" s="128"/>
      <c r="JC2" s="128"/>
      <c r="JD2" s="128"/>
      <c r="JE2" s="128"/>
      <c r="JF2" s="128"/>
      <c r="JG2" s="128"/>
      <c r="JH2" s="128"/>
      <c r="JI2" s="128"/>
      <c r="JJ2" s="128"/>
      <c r="JK2" s="128"/>
      <c r="JL2" s="128"/>
      <c r="JM2" s="129"/>
      <c r="JN2" s="127" t="s">
        <v>44</v>
      </c>
      <c r="JO2" s="128"/>
      <c r="JP2" s="128"/>
      <c r="JQ2" s="128"/>
      <c r="JR2" s="128"/>
      <c r="JS2" s="128"/>
      <c r="JT2" s="128"/>
      <c r="JU2" s="128"/>
      <c r="JV2" s="128"/>
      <c r="JW2" s="128"/>
      <c r="JX2" s="128"/>
      <c r="JY2" s="128"/>
      <c r="JZ2" s="128"/>
      <c r="KA2" s="128"/>
      <c r="KB2" s="128"/>
      <c r="KC2" s="128"/>
      <c r="KD2" s="128"/>
      <c r="KE2" s="128"/>
      <c r="KF2" s="128"/>
      <c r="KG2" s="128"/>
      <c r="KH2" s="128"/>
      <c r="KI2" s="128"/>
      <c r="KJ2" s="128"/>
      <c r="KK2" s="128"/>
      <c r="KL2" s="128"/>
      <c r="KM2" s="128"/>
      <c r="KN2" s="128"/>
      <c r="KO2" s="128"/>
      <c r="KP2" s="128"/>
      <c r="KQ2" s="128"/>
      <c r="KR2" s="128"/>
      <c r="KS2" s="128"/>
      <c r="KT2" s="128"/>
      <c r="KU2" s="128"/>
      <c r="KV2" s="128"/>
      <c r="KW2" s="128"/>
      <c r="KX2" s="128"/>
      <c r="KY2" s="128"/>
      <c r="KZ2" s="128"/>
      <c r="LA2" s="128"/>
      <c r="LB2" s="128"/>
      <c r="LC2" s="128"/>
      <c r="LD2" s="128"/>
      <c r="LE2" s="128"/>
      <c r="LF2" s="128"/>
      <c r="LG2" s="128"/>
      <c r="LH2" s="128"/>
      <c r="LI2" s="128"/>
      <c r="LJ2" s="128"/>
      <c r="LK2" s="128"/>
      <c r="LL2" s="128"/>
      <c r="LM2" s="128"/>
      <c r="LN2" s="128"/>
      <c r="LO2" s="128"/>
      <c r="LP2" s="128"/>
      <c r="LQ2" s="128"/>
      <c r="LR2" s="128"/>
      <c r="LS2" s="128"/>
      <c r="LT2" s="128"/>
      <c r="LU2" s="128"/>
      <c r="LV2" s="128"/>
      <c r="LW2" s="128"/>
      <c r="LX2" s="128"/>
      <c r="LY2" s="128"/>
      <c r="LZ2" s="128"/>
      <c r="MA2" s="128"/>
      <c r="MB2" s="128"/>
      <c r="MC2" s="128"/>
      <c r="MD2" s="128"/>
      <c r="ME2" s="128"/>
      <c r="MF2" s="128"/>
      <c r="MG2" s="128"/>
      <c r="MH2" s="128"/>
      <c r="MI2" s="128"/>
      <c r="MJ2" s="128"/>
      <c r="MK2" s="128"/>
      <c r="ML2" s="128"/>
      <c r="MM2" s="128"/>
      <c r="MN2" s="128"/>
      <c r="MO2" s="128"/>
      <c r="MP2" s="128"/>
      <c r="MQ2" s="128"/>
      <c r="MR2" s="128"/>
      <c r="MS2" s="128"/>
      <c r="MT2" s="128"/>
      <c r="MU2" s="128"/>
      <c r="MV2" s="128"/>
      <c r="MW2" s="128"/>
      <c r="MX2" s="128"/>
      <c r="MY2" s="129"/>
    </row>
    <row r="3" spans="1:363" ht="19.5" customHeight="1" x14ac:dyDescent="0.2">
      <c r="A3" s="88"/>
      <c r="B3" s="130" t="s">
        <v>21</v>
      </c>
      <c r="C3" s="30">
        <v>0</v>
      </c>
      <c r="D3" s="89"/>
      <c r="E3" s="90"/>
      <c r="F3" s="91"/>
      <c r="G3" s="92"/>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31"/>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32" t="str">
        <f>Donnees!$C$21</f>
        <v>Découverte du programme</v>
      </c>
      <c r="C5" s="99">
        <v>0</v>
      </c>
      <c r="D5" s="89"/>
      <c r="E5" s="90"/>
      <c r="F5" s="91"/>
      <c r="G5" s="92"/>
      <c r="H5" s="90"/>
      <c r="I5" s="91"/>
      <c r="J5" s="92"/>
      <c r="K5" s="90"/>
      <c r="L5" s="91"/>
      <c r="M5" s="92"/>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26"/>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25"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26"/>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25" t="str">
        <f>Donnees!$C$23</f>
        <v>Création de l'application</v>
      </c>
      <c r="C9" s="99">
        <v>0</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26"/>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25" t="str">
        <f>Donnees!$C$24</f>
        <v>Création des options</v>
      </c>
      <c r="C11" s="99">
        <v>0</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26"/>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25"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26"/>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25"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26"/>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25" t="str">
        <f>Donnees!$C$27</f>
        <v>Insertion Module, notes</v>
      </c>
      <c r="C17" s="99">
        <v>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26"/>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25" t="str">
        <f>Donnees!$C$28</f>
        <v>Calcule automatique des moyennes</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26"/>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25" t="str">
        <f>Donnees!$C$29</f>
        <v>Affichage des résultats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26"/>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25"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26"/>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25"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26"/>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25" t="str">
        <f>Donnees!$C$32</f>
        <v>Test</v>
      </c>
      <c r="C27" s="99">
        <v>0</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92"/>
      <c r="IN27" s="90"/>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26"/>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25" t="str">
        <f>Donnees!$C$33</f>
        <v>Réparation des bugs</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26"/>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25" t="str">
        <f>Donnees!$C$34</f>
        <v>Documentation</v>
      </c>
      <c r="C31" s="99">
        <v>0</v>
      </c>
      <c r="D31" s="89"/>
      <c r="E31" s="90"/>
      <c r="F31" s="91"/>
      <c r="G31" s="92"/>
      <c r="H31" s="90"/>
      <c r="I31" s="91"/>
      <c r="J31" s="92"/>
      <c r="K31" s="90"/>
      <c r="L31" s="91"/>
      <c r="M31" s="92"/>
      <c r="N31" s="90"/>
      <c r="O31" s="91"/>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26"/>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25" t="str">
        <f>Donnees!$C$35</f>
        <v>Journal de travail</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26"/>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0" t="s">
        <v>21</v>
      </c>
      <c r="C3" s="30">
        <v>0</v>
      </c>
    </row>
    <row r="4" spans="1:4" ht="19.5" customHeight="1" x14ac:dyDescent="0.2">
      <c r="A4" s="34"/>
      <c r="B4" s="133"/>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89"/>
  <sheetViews>
    <sheetView tabSelected="1" view="pageBreakPreview" topLeftCell="A16" zoomScale="115" zoomScaleNormal="100" zoomScaleSheetLayoutView="115" workbookViewId="0">
      <selection activeCell="C18" sqref="C18"/>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108"/>
      <c r="B3" s="109"/>
      <c r="C3" s="110" t="s">
        <v>52</v>
      </c>
      <c r="D3" s="121"/>
    </row>
    <row r="4" spans="1:4" s="81" customFormat="1" ht="38.25" x14ac:dyDescent="0.2">
      <c r="A4" s="5" t="s">
        <v>27</v>
      </c>
      <c r="B4" s="6">
        <v>6</v>
      </c>
      <c r="C4" s="14" t="s">
        <v>62</v>
      </c>
      <c r="D4" s="122" t="s">
        <v>63</v>
      </c>
    </row>
    <row r="5" spans="1:4" s="81" customFormat="1" ht="40.5" x14ac:dyDescent="0.2">
      <c r="A5" s="5" t="s">
        <v>27</v>
      </c>
      <c r="B5" s="6">
        <v>2</v>
      </c>
      <c r="C5" s="14" t="s">
        <v>68</v>
      </c>
      <c r="D5" s="14"/>
    </row>
    <row r="6" spans="1:4" s="81" customFormat="1" ht="13.5" x14ac:dyDescent="0.2">
      <c r="A6" s="5" t="s">
        <v>27</v>
      </c>
      <c r="B6" s="6">
        <v>1</v>
      </c>
      <c r="C6" s="14" t="s">
        <v>64</v>
      </c>
      <c r="D6" s="122" t="s">
        <v>65</v>
      </c>
    </row>
    <row r="7" spans="1:4" s="81" customFormat="1" ht="27" x14ac:dyDescent="0.2">
      <c r="A7" s="5" t="s">
        <v>38</v>
      </c>
      <c r="B7" s="6">
        <v>3</v>
      </c>
      <c r="C7" s="14" t="s">
        <v>67</v>
      </c>
      <c r="D7" s="122" t="s">
        <v>66</v>
      </c>
    </row>
    <row r="8" spans="1:4" s="81" customFormat="1" ht="13.5" x14ac:dyDescent="0.2">
      <c r="A8" s="5"/>
      <c r="B8" s="6"/>
      <c r="C8" s="14"/>
      <c r="D8" s="14"/>
    </row>
    <row r="9" spans="1:4" s="81" customFormat="1" ht="13.5" x14ac:dyDescent="0.2">
      <c r="A9" s="5" t="s">
        <v>21</v>
      </c>
      <c r="B9" s="6">
        <v>2</v>
      </c>
      <c r="C9" s="14" t="s">
        <v>73</v>
      </c>
      <c r="D9" s="122"/>
    </row>
    <row r="10" spans="1:4" s="81" customFormat="1" ht="13.5" x14ac:dyDescent="0.2">
      <c r="A10" s="5" t="s">
        <v>29</v>
      </c>
      <c r="B10" s="6">
        <v>4</v>
      </c>
      <c r="C10" s="14" t="s">
        <v>69</v>
      </c>
      <c r="D10" s="122" t="s">
        <v>70</v>
      </c>
    </row>
    <row r="11" spans="1:4" s="81" customFormat="1" ht="27" x14ac:dyDescent="0.2">
      <c r="A11" s="5" t="s">
        <v>28</v>
      </c>
      <c r="B11" s="6">
        <v>2</v>
      </c>
      <c r="C11" s="14" t="s">
        <v>74</v>
      </c>
      <c r="D11" s="14"/>
    </row>
    <row r="12" spans="1:4" s="81" customFormat="1" ht="27" x14ac:dyDescent="0.2">
      <c r="A12" s="5" t="s">
        <v>29</v>
      </c>
      <c r="B12" s="6">
        <v>2</v>
      </c>
      <c r="C12" s="14" t="s">
        <v>72</v>
      </c>
      <c r="D12" s="122" t="s">
        <v>71</v>
      </c>
    </row>
    <row r="13" spans="1:4" s="81" customFormat="1" ht="14.25" thickBot="1" x14ac:dyDescent="0.25">
      <c r="A13" s="6" t="s">
        <v>38</v>
      </c>
      <c r="B13" s="6">
        <v>2</v>
      </c>
      <c r="C13" s="14" t="s">
        <v>75</v>
      </c>
      <c r="D13" s="14"/>
    </row>
    <row r="14" spans="1:4" s="81" customFormat="1" ht="13.5" x14ac:dyDescent="0.2">
      <c r="A14" s="108"/>
      <c r="B14" s="109"/>
      <c r="C14" s="110" t="s">
        <v>48</v>
      </c>
      <c r="D14" s="121"/>
    </row>
    <row r="15" spans="1:4" s="81" customFormat="1" ht="54" x14ac:dyDescent="0.2">
      <c r="A15" s="79" t="s">
        <v>28</v>
      </c>
      <c r="B15" s="79">
        <v>4</v>
      </c>
      <c r="C15" s="80" t="s">
        <v>78</v>
      </c>
      <c r="D15" s="80" t="s">
        <v>77</v>
      </c>
    </row>
    <row r="16" spans="1:4" s="81" customFormat="1" ht="27" x14ac:dyDescent="0.2">
      <c r="A16" s="79" t="s">
        <v>28</v>
      </c>
      <c r="B16" s="79">
        <v>3</v>
      </c>
      <c r="C16" s="80" t="s">
        <v>76</v>
      </c>
      <c r="D16" s="80"/>
    </row>
    <row r="17" spans="1:4" s="81" customFormat="1" ht="13.5" x14ac:dyDescent="0.2">
      <c r="A17" s="79" t="s">
        <v>29</v>
      </c>
      <c r="B17" s="79">
        <v>2</v>
      </c>
      <c r="C17" s="80" t="s">
        <v>79</v>
      </c>
      <c r="D17" s="80"/>
    </row>
    <row r="18" spans="1:4" s="81" customFormat="1" ht="27" x14ac:dyDescent="0.2">
      <c r="A18" s="79" t="s">
        <v>28</v>
      </c>
      <c r="B18" s="79">
        <v>2</v>
      </c>
      <c r="C18" s="80" t="s">
        <v>81</v>
      </c>
      <c r="D18" s="80"/>
    </row>
    <row r="19" spans="1:4" s="81" customFormat="1" ht="13.5" x14ac:dyDescent="0.2">
      <c r="A19" s="79" t="s">
        <v>38</v>
      </c>
      <c r="B19" s="79">
        <v>1</v>
      </c>
      <c r="C19" s="80" t="s">
        <v>80</v>
      </c>
      <c r="D19" s="80"/>
    </row>
    <row r="20" spans="1:4" s="81" customFormat="1" ht="13.5" x14ac:dyDescent="0.2">
      <c r="A20" s="79"/>
      <c r="B20" s="79"/>
      <c r="C20" s="80"/>
      <c r="D20" s="80"/>
    </row>
    <row r="21" spans="1:4" s="81" customFormat="1" ht="13.5" x14ac:dyDescent="0.2">
      <c r="A21" s="79"/>
      <c r="B21" s="79"/>
      <c r="C21" s="80"/>
      <c r="D21" s="80"/>
    </row>
    <row r="22" spans="1:4" s="81" customFormat="1" ht="13.5" x14ac:dyDescent="0.2">
      <c r="A22" s="79"/>
      <c r="B22" s="79"/>
      <c r="C22" s="80"/>
      <c r="D22" s="80"/>
    </row>
    <row r="23" spans="1:4" s="81" customFormat="1" ht="13.5" x14ac:dyDescent="0.2">
      <c r="A23" s="79"/>
      <c r="B23" s="79"/>
      <c r="C23" s="80"/>
      <c r="D23" s="80"/>
    </row>
    <row r="24" spans="1:4" s="81" customFormat="1" ht="13.5" x14ac:dyDescent="0.2">
      <c r="A24" s="79"/>
      <c r="B24" s="79"/>
      <c r="C24" s="80"/>
      <c r="D24" s="80"/>
    </row>
    <row r="25" spans="1:4" s="81" customFormat="1" ht="13.5" x14ac:dyDescent="0.2">
      <c r="A25" s="79"/>
      <c r="B25" s="79"/>
      <c r="C25" s="80"/>
      <c r="D25" s="80"/>
    </row>
    <row r="26" spans="1:4" s="81" customFormat="1" ht="13.5" x14ac:dyDescent="0.2">
      <c r="A26" s="79"/>
      <c r="B26" s="79"/>
      <c r="C26" s="80"/>
      <c r="D26" s="80"/>
    </row>
    <row r="27" spans="1:4" s="81" customFormat="1" ht="13.5" x14ac:dyDescent="0.2">
      <c r="A27" s="79"/>
      <c r="B27" s="79"/>
      <c r="C27" s="80"/>
      <c r="D27" s="80"/>
    </row>
    <row r="28" spans="1:4" s="81" customFormat="1" ht="13.5" x14ac:dyDescent="0.2">
      <c r="A28" s="79"/>
      <c r="B28" s="79"/>
      <c r="C28" s="80"/>
      <c r="D28" s="80"/>
    </row>
    <row r="29" spans="1:4" s="81" customFormat="1" ht="14.25" thickBot="1" x14ac:dyDescent="0.25">
      <c r="A29" s="7"/>
      <c r="B29" s="7"/>
      <c r="C29" s="15"/>
      <c r="D29" s="15"/>
    </row>
    <row r="30" spans="1:4" ht="14.25" thickBot="1" x14ac:dyDescent="0.25">
      <c r="A30" s="76" t="s">
        <v>22</v>
      </c>
      <c r="B30" s="76">
        <f>SUM(B3:B29)</f>
        <v>36</v>
      </c>
      <c r="C30" s="83" t="s">
        <v>39</v>
      </c>
      <c r="D30" s="77"/>
    </row>
    <row r="31" spans="1:4" ht="15" thickBot="1" x14ac:dyDescent="0.35">
      <c r="A31" s="78"/>
      <c r="B31" s="78"/>
      <c r="C31" s="78"/>
      <c r="D31" s="78"/>
    </row>
    <row r="32" spans="1:4" ht="18.75" thickBot="1" x14ac:dyDescent="0.25">
      <c r="A32" s="71" t="s">
        <v>14</v>
      </c>
      <c r="B32" s="72">
        <v>2</v>
      </c>
      <c r="C32" s="73" t="s">
        <v>23</v>
      </c>
      <c r="D32" s="82">
        <v>42891</v>
      </c>
    </row>
    <row r="33" spans="1:9" ht="27.75" thickBot="1" x14ac:dyDescent="0.25">
      <c r="A33" s="74" t="s">
        <v>3</v>
      </c>
      <c r="B33" s="75" t="s">
        <v>15</v>
      </c>
      <c r="C33" s="74" t="s">
        <v>7</v>
      </c>
      <c r="D33" s="74" t="s">
        <v>13</v>
      </c>
    </row>
    <row r="34" spans="1:9" ht="13.5" x14ac:dyDescent="0.2">
      <c r="A34" s="9"/>
      <c r="B34" s="8"/>
      <c r="C34" s="13"/>
      <c r="D34" s="13"/>
    </row>
    <row r="35" spans="1:9" ht="13.5" x14ac:dyDescent="0.2">
      <c r="A35" s="5"/>
      <c r="B35" s="6"/>
      <c r="C35" s="14"/>
      <c r="D35" s="14"/>
    </row>
    <row r="36" spans="1:9" ht="13.5" x14ac:dyDescent="0.2">
      <c r="A36" s="5"/>
      <c r="B36" s="6"/>
      <c r="C36" s="14"/>
      <c r="D36" s="14"/>
      <c r="E36" s="37"/>
      <c r="F36" s="37"/>
      <c r="G36" s="37"/>
      <c r="H36" s="37"/>
      <c r="I36" s="37"/>
    </row>
    <row r="37" spans="1:9" ht="12.75" customHeight="1" x14ac:dyDescent="0.2">
      <c r="A37" s="5"/>
      <c r="B37" s="6"/>
      <c r="C37" s="14"/>
      <c r="D37" s="14"/>
      <c r="E37" s="37"/>
      <c r="F37" s="54"/>
      <c r="G37" s="55"/>
      <c r="H37" s="56"/>
      <c r="I37" s="37"/>
    </row>
    <row r="38" spans="1:9" ht="15" x14ac:dyDescent="0.2">
      <c r="A38" s="5"/>
      <c r="B38" s="6"/>
      <c r="C38" s="14"/>
      <c r="D38" s="14"/>
      <c r="E38" s="37"/>
      <c r="F38" s="57"/>
      <c r="G38" s="53"/>
      <c r="H38" s="53"/>
      <c r="I38" s="37"/>
    </row>
    <row r="39" spans="1:9" ht="13.5" x14ac:dyDescent="0.2">
      <c r="A39" s="5"/>
      <c r="B39" s="6"/>
      <c r="C39" s="14"/>
      <c r="D39" s="14"/>
      <c r="E39" s="37"/>
      <c r="F39" s="59"/>
      <c r="G39" s="60"/>
      <c r="H39" s="60"/>
      <c r="I39" s="37"/>
    </row>
    <row r="40" spans="1:9" ht="13.5" x14ac:dyDescent="0.2">
      <c r="A40" s="5"/>
      <c r="B40" s="6"/>
      <c r="C40" s="14"/>
      <c r="D40" s="14"/>
      <c r="E40" s="37"/>
      <c r="F40" s="59"/>
      <c r="G40" s="60"/>
      <c r="H40" s="60"/>
      <c r="I40" s="37"/>
    </row>
    <row r="41" spans="1:9" ht="13.5" x14ac:dyDescent="0.2">
      <c r="A41" s="5"/>
      <c r="B41" s="6"/>
      <c r="C41" s="14"/>
      <c r="D41" s="14"/>
      <c r="E41" s="37"/>
      <c r="F41" s="59"/>
      <c r="G41" s="60"/>
      <c r="H41" s="60"/>
      <c r="I41" s="37"/>
    </row>
    <row r="42" spans="1:9" ht="13.5" x14ac:dyDescent="0.2">
      <c r="A42" s="5"/>
      <c r="B42" s="6"/>
      <c r="C42" s="14"/>
      <c r="D42" s="14"/>
      <c r="E42" s="37"/>
      <c r="F42" s="59"/>
      <c r="G42" s="60"/>
      <c r="H42" s="60"/>
      <c r="I42" s="37"/>
    </row>
    <row r="43" spans="1:9" ht="13.5" x14ac:dyDescent="0.2">
      <c r="A43" s="6"/>
      <c r="B43" s="6"/>
      <c r="C43" s="14"/>
      <c r="D43" s="14"/>
      <c r="E43" s="37"/>
      <c r="F43" s="59"/>
      <c r="G43" s="60"/>
      <c r="H43" s="60"/>
      <c r="I43" s="37"/>
    </row>
    <row r="44" spans="1:9" ht="13.5" x14ac:dyDescent="0.2">
      <c r="A44" s="6"/>
      <c r="B44" s="6"/>
      <c r="C44" s="14"/>
      <c r="D44" s="14"/>
      <c r="E44" s="37"/>
      <c r="F44" s="59"/>
      <c r="G44" s="60"/>
      <c r="H44" s="60"/>
      <c r="I44" s="37"/>
    </row>
    <row r="45" spans="1:9" ht="13.5" x14ac:dyDescent="0.2">
      <c r="A45" s="6"/>
      <c r="B45" s="6"/>
      <c r="C45" s="14"/>
      <c r="D45" s="14"/>
      <c r="E45" s="37"/>
      <c r="F45" s="59"/>
      <c r="G45" s="60"/>
      <c r="H45" s="60"/>
      <c r="I45" s="37"/>
    </row>
    <row r="46" spans="1:9" ht="13.5" x14ac:dyDescent="0.2">
      <c r="A46" s="79"/>
      <c r="B46" s="79"/>
      <c r="C46" s="80"/>
      <c r="D46" s="80"/>
      <c r="E46" s="37"/>
      <c r="F46" s="59"/>
      <c r="G46" s="60"/>
      <c r="H46" s="60"/>
      <c r="I46" s="37"/>
    </row>
    <row r="47" spans="1:9" ht="13.5" x14ac:dyDescent="0.2">
      <c r="A47" s="79"/>
      <c r="B47" s="79"/>
      <c r="C47" s="80"/>
      <c r="D47" s="80"/>
      <c r="E47" s="37"/>
      <c r="F47" s="61"/>
      <c r="G47" s="62"/>
      <c r="H47" s="62"/>
      <c r="I47" s="37"/>
    </row>
    <row r="48" spans="1:9" ht="15" thickBot="1" x14ac:dyDescent="0.35">
      <c r="A48" s="7"/>
      <c r="B48" s="7"/>
      <c r="C48" s="15"/>
      <c r="D48" s="15"/>
      <c r="E48" s="37"/>
      <c r="F48" s="63"/>
      <c r="G48" s="63"/>
      <c r="H48" s="63"/>
      <c r="I48" s="37"/>
    </row>
    <row r="49" spans="1:9" ht="14.25" thickBot="1" x14ac:dyDescent="0.25">
      <c r="A49" s="76" t="s">
        <v>22</v>
      </c>
      <c r="B49" s="76">
        <f>SUM(B34:B48)</f>
        <v>0</v>
      </c>
      <c r="C49" s="83" t="s">
        <v>39</v>
      </c>
      <c r="D49" s="77"/>
      <c r="E49" s="37"/>
      <c r="F49" s="37"/>
      <c r="G49" s="37"/>
      <c r="H49" s="37"/>
      <c r="I49" s="37"/>
    </row>
    <row r="50" spans="1:9" ht="15" thickBot="1" x14ac:dyDescent="0.35">
      <c r="A50" s="78"/>
      <c r="B50" s="78"/>
      <c r="C50" s="78"/>
      <c r="D50" s="78"/>
      <c r="E50" s="37"/>
      <c r="F50" s="37"/>
      <c r="G50" s="37"/>
      <c r="H50" s="37"/>
      <c r="I50" s="37"/>
    </row>
    <row r="51" spans="1:9" ht="18.75" thickBot="1" x14ac:dyDescent="0.25">
      <c r="A51" s="71" t="s">
        <v>14</v>
      </c>
      <c r="B51" s="72">
        <v>3</v>
      </c>
      <c r="C51" s="73" t="s">
        <v>23</v>
      </c>
      <c r="D51" s="82">
        <v>42898</v>
      </c>
      <c r="E51" s="37"/>
      <c r="F51" s="37"/>
      <c r="G51" s="37"/>
      <c r="H51" s="37"/>
      <c r="I51" s="37"/>
    </row>
    <row r="52" spans="1:9" ht="27.75" thickBot="1" x14ac:dyDescent="0.25">
      <c r="A52" s="74" t="s">
        <v>3</v>
      </c>
      <c r="B52" s="75" t="s">
        <v>15</v>
      </c>
      <c r="C52" s="74" t="s">
        <v>7</v>
      </c>
      <c r="D52" s="74" t="s">
        <v>13</v>
      </c>
    </row>
    <row r="53" spans="1:9" ht="13.5" x14ac:dyDescent="0.2">
      <c r="A53" s="9"/>
      <c r="B53" s="8"/>
      <c r="C53" s="13"/>
      <c r="D53" s="13"/>
    </row>
    <row r="54" spans="1:9" ht="13.5" x14ac:dyDescent="0.2">
      <c r="A54" s="5"/>
      <c r="B54" s="6"/>
      <c r="C54" s="14"/>
      <c r="D54" s="14"/>
    </row>
    <row r="55" spans="1:9" ht="13.5" x14ac:dyDescent="0.2">
      <c r="A55" s="5"/>
      <c r="B55" s="6"/>
      <c r="C55" s="14"/>
      <c r="D55" s="14"/>
    </row>
    <row r="56" spans="1:9" ht="13.5" x14ac:dyDescent="0.2">
      <c r="A56" s="5"/>
      <c r="B56" s="6"/>
      <c r="C56" s="14"/>
      <c r="D56" s="14"/>
    </row>
    <row r="57" spans="1:9" ht="13.5" x14ac:dyDescent="0.2">
      <c r="A57" s="5"/>
      <c r="B57" s="6"/>
      <c r="C57" s="14"/>
      <c r="D57" s="14"/>
    </row>
    <row r="58" spans="1:9" ht="13.5" x14ac:dyDescent="0.2">
      <c r="A58" s="5"/>
      <c r="B58" s="6"/>
      <c r="C58" s="14"/>
      <c r="D58" s="14"/>
    </row>
    <row r="59" spans="1:9" ht="13.5" x14ac:dyDescent="0.2">
      <c r="A59" s="5"/>
      <c r="B59" s="6"/>
      <c r="C59" s="14"/>
      <c r="D59" s="14"/>
    </row>
    <row r="60" spans="1:9" ht="13.5" x14ac:dyDescent="0.2">
      <c r="A60" s="5"/>
      <c r="B60" s="6"/>
      <c r="C60" s="14"/>
      <c r="D60" s="14"/>
    </row>
    <row r="61" spans="1:9" ht="13.5" x14ac:dyDescent="0.2">
      <c r="A61" s="5"/>
      <c r="B61" s="6"/>
      <c r="C61" s="14"/>
      <c r="D61" s="14"/>
    </row>
    <row r="62" spans="1:9" ht="13.5" x14ac:dyDescent="0.2">
      <c r="A62" s="6"/>
      <c r="B62" s="6"/>
      <c r="C62" s="14"/>
      <c r="D62" s="14"/>
    </row>
    <row r="63" spans="1:9" ht="13.5" x14ac:dyDescent="0.2">
      <c r="A63" s="6"/>
      <c r="B63" s="6"/>
      <c r="C63" s="14"/>
      <c r="D63" s="14"/>
    </row>
    <row r="64" spans="1:9" ht="13.5" x14ac:dyDescent="0.2">
      <c r="A64" s="6"/>
      <c r="B64" s="6"/>
      <c r="C64" s="14"/>
      <c r="D64" s="14"/>
    </row>
    <row r="65" spans="1:4" ht="13.5" x14ac:dyDescent="0.2">
      <c r="A65" s="79"/>
      <c r="B65" s="79"/>
      <c r="C65" s="80"/>
      <c r="D65" s="80"/>
    </row>
    <row r="66" spans="1:4" ht="13.5" x14ac:dyDescent="0.2">
      <c r="A66" s="79"/>
      <c r="B66" s="79"/>
      <c r="C66" s="80"/>
      <c r="D66" s="80"/>
    </row>
    <row r="67" spans="1:4" ht="14.25" thickBot="1" x14ac:dyDescent="0.25">
      <c r="A67" s="7"/>
      <c r="B67" s="7"/>
      <c r="C67" s="15"/>
      <c r="D67" s="15"/>
    </row>
    <row r="68" spans="1:4" ht="14.25" thickBot="1" x14ac:dyDescent="0.25">
      <c r="A68" s="76" t="s">
        <v>22</v>
      </c>
      <c r="B68" s="76">
        <f>SUM(B53:B67)</f>
        <v>0</v>
      </c>
      <c r="C68" s="83" t="s">
        <v>39</v>
      </c>
      <c r="D68" s="77"/>
    </row>
    <row r="69" spans="1:4" ht="15" thickBot="1" x14ac:dyDescent="0.35">
      <c r="A69" s="78"/>
      <c r="B69" s="78"/>
      <c r="C69" s="78"/>
      <c r="D69" s="78"/>
    </row>
    <row r="70" spans="1:4" ht="18.75" thickBot="1" x14ac:dyDescent="0.25">
      <c r="A70" s="71" t="s">
        <v>14</v>
      </c>
      <c r="B70" s="72">
        <v>4</v>
      </c>
      <c r="C70" s="73" t="s">
        <v>23</v>
      </c>
      <c r="D70" s="82">
        <v>42905</v>
      </c>
    </row>
    <row r="71" spans="1:4" ht="27.75" thickBot="1" x14ac:dyDescent="0.25">
      <c r="A71" s="74" t="s">
        <v>3</v>
      </c>
      <c r="B71" s="75" t="s">
        <v>15</v>
      </c>
      <c r="C71" s="74" t="s">
        <v>7</v>
      </c>
      <c r="D71" s="74" t="s">
        <v>13</v>
      </c>
    </row>
    <row r="72" spans="1:4" ht="13.5" x14ac:dyDescent="0.2">
      <c r="A72" s="9"/>
      <c r="B72" s="8"/>
      <c r="C72" s="13"/>
      <c r="D72" s="13"/>
    </row>
    <row r="73" spans="1:4" ht="13.5" x14ac:dyDescent="0.2">
      <c r="A73" s="5"/>
      <c r="B73" s="6"/>
      <c r="C73" s="14"/>
      <c r="D73" s="14"/>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5"/>
      <c r="B79" s="6"/>
      <c r="C79" s="14"/>
      <c r="D79" s="14"/>
    </row>
    <row r="80" spans="1:4" ht="13.5" x14ac:dyDescent="0.2">
      <c r="A80" s="5"/>
      <c r="B80" s="6"/>
      <c r="C80" s="14"/>
      <c r="D80" s="14"/>
    </row>
    <row r="81" spans="1:4" ht="13.5" x14ac:dyDescent="0.2">
      <c r="A81" s="6"/>
      <c r="B81" s="6"/>
      <c r="C81" s="14"/>
      <c r="D81" s="14"/>
    </row>
    <row r="82" spans="1:4" ht="13.5" x14ac:dyDescent="0.2">
      <c r="A82" s="6"/>
      <c r="B82" s="6"/>
      <c r="C82" s="14"/>
      <c r="D82" s="14"/>
    </row>
    <row r="83" spans="1:4" ht="13.5" x14ac:dyDescent="0.2">
      <c r="A83" s="6"/>
      <c r="B83" s="6"/>
      <c r="C83" s="14"/>
      <c r="D83" s="14"/>
    </row>
    <row r="84" spans="1:4" ht="13.5" x14ac:dyDescent="0.2">
      <c r="A84" s="79"/>
      <c r="B84" s="79"/>
      <c r="C84" s="80"/>
      <c r="D84" s="80"/>
    </row>
    <row r="85" spans="1:4" ht="13.5" x14ac:dyDescent="0.2">
      <c r="A85" s="79"/>
      <c r="B85" s="79"/>
      <c r="C85" s="80"/>
      <c r="D85" s="80"/>
    </row>
    <row r="86" spans="1:4" ht="14.25" thickBot="1" x14ac:dyDescent="0.25">
      <c r="A86" s="7"/>
      <c r="B86" s="7"/>
      <c r="C86" s="15"/>
      <c r="D86" s="15"/>
    </row>
    <row r="87" spans="1:4" ht="14.25" thickBot="1" x14ac:dyDescent="0.25">
      <c r="A87" s="76" t="s">
        <v>22</v>
      </c>
      <c r="B87" s="76">
        <f>SUM(B72:B86)</f>
        <v>0</v>
      </c>
      <c r="C87" s="83" t="s">
        <v>39</v>
      </c>
      <c r="D87" s="77"/>
    </row>
    <row r="88" spans="1:4" ht="14.25" x14ac:dyDescent="0.3">
      <c r="A88" s="78"/>
      <c r="B88" s="78"/>
      <c r="C88" s="78"/>
      <c r="D88" s="78"/>
    </row>
    <row r="89" spans="1:4" x14ac:dyDescent="0.2">
      <c r="A89"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7">
      <formula1>0</formula1>
      <formula2>DureePeriode-1</formula2>
    </dataValidation>
    <dataValidation type="whole" errorStyle="warning" operator="greaterThan" allowBlank="1" showInputMessage="1" showErrorMessage="1" errorTitle="Durée en 1/3 de période" error="Le nombre doit être de type entier" sqref="F39:F46 B72:B86 B34:B48 B53:B67 B3:B29">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0 B49 B68 B87">
      <formula1>0</formula1>
      <formula2>NbPerWeek * NbQuartPer</formula2>
    </dataValidation>
    <dataValidation type="list" allowBlank="1" showInputMessage="1" showErrorMessage="1" sqref="A72:A86 A34:A48 A53:A67 A3:A29">
      <formula1>lstTasks</formula1>
    </dataValidation>
  </dataValidations>
  <hyperlinks>
    <hyperlink ref="D4" r:id="rId1"/>
    <hyperlink ref="D6" r:id="rId2"/>
    <hyperlink ref="D10" r:id="rId3"/>
  </hyperlinks>
  <printOptions horizontalCentered="1" verticalCentered="1"/>
  <pageMargins left="0.25" right="0.25" top="0.75" bottom="0.75" header="0.3" footer="0.3"/>
  <pageSetup paperSize="9" scale="61"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6081"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6081" r:id="rId7"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zoomScaleNormal="100" zoomScaleSheetLayoutView="100" workbookViewId="0">
      <selection activeCell="C13" sqref="C1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2017-05-30T14:33:04Z</dcterms:modified>
  <cp:contentStatus>Version 8.0</cp:contentStatus>
</cp:coreProperties>
</file>